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UALIZA AUTOMAT." sheetId="1" r:id="rId5"/>
    <sheet state="visible" name="L1" sheetId="2" r:id="rId6"/>
    <sheet state="visible" name="L2" sheetId="3" r:id="rId7"/>
    <sheet state="visible" name="L3" sheetId="4" r:id="rId8"/>
    <sheet state="visible" name="L4" sheetId="5" r:id="rId9"/>
    <sheet state="visible" name="L5" sheetId="6" r:id="rId10"/>
    <sheet state="visible" name="L6" sheetId="7" r:id="rId11"/>
    <sheet state="visible" name="L7" sheetId="8" r:id="rId12"/>
    <sheet state="visible" name="L8" sheetId="9" r:id="rId13"/>
    <sheet state="visible" name="L9" sheetId="10" r:id="rId14"/>
    <sheet state="visible" name="L10" sheetId="11" r:id="rId15"/>
    <sheet state="visible" name="MODELO BASE" sheetId="12" r:id="rId16"/>
  </sheets>
  <definedNames/>
  <calcPr/>
</workbook>
</file>

<file path=xl/sharedStrings.xml><?xml version="1.0" encoding="utf-8"?>
<sst xmlns="http://schemas.openxmlformats.org/spreadsheetml/2006/main" count="2654" uniqueCount="548">
  <si>
    <t>CENSO DE DIETA DA UTI</t>
  </si>
  <si>
    <t>HORÁRIO:</t>
  </si>
  <si>
    <t>LEITO</t>
  </si>
  <si>
    <t>NOME</t>
  </si>
  <si>
    <t>IDADE</t>
  </si>
  <si>
    <t>DIETA</t>
  </si>
  <si>
    <t>OBSERVAÇÃO</t>
  </si>
  <si>
    <t>META</t>
  </si>
  <si>
    <t>ÁGUA</t>
  </si>
  <si>
    <t>PESO</t>
  </si>
  <si>
    <t>DI.UTI</t>
  </si>
  <si>
    <t>PRONT.</t>
  </si>
  <si>
    <t>LEITO 01</t>
  </si>
  <si>
    <t>LEITO 02</t>
  </si>
  <si>
    <t>LEITO 03</t>
  </si>
  <si>
    <t>LEITO 04</t>
  </si>
  <si>
    <t>LEITO 05</t>
  </si>
  <si>
    <t>LEITO 06</t>
  </si>
  <si>
    <t>LEITO 07</t>
  </si>
  <si>
    <t>APARECIDO TOLEDO</t>
  </si>
  <si>
    <t>LEVE/ HAS /DM</t>
  </si>
  <si>
    <t>LEITO 08</t>
  </si>
  <si>
    <t>LEITO 09</t>
  </si>
  <si>
    <t>ISOLAM.</t>
  </si>
  <si>
    <t>FA</t>
  </si>
  <si>
    <t>PACIENTE</t>
  </si>
  <si>
    <t>EDITE SOARES DA SILVA</t>
  </si>
  <si>
    <r>
      <t xml:space="preserve">ALERGIAS </t>
    </r>
    <r>
      <rPr>
        <rFont val="Arial"/>
        <b/>
        <color theme="1"/>
        <sz val="7.0"/>
      </rPr>
      <t>(anotar quando tiver)</t>
    </r>
  </si>
  <si>
    <t>HD:</t>
  </si>
  <si>
    <t>1- RNC  &gt;&gt; IOT (25/11) - 2- DESCARTADO  &gt;&gt; MENINGOENCEFALITE VIRAL  
3- MASSA CERVICAL ANTERIOR  &gt;&gt; NEOPLASIA DE TIREOIDE A/E
4- HEPATITE A ESCLARECER&gt;&gt; HEPATITE ISQUÊMICA? &gt;&gt;INFECCIOSA?</t>
  </si>
  <si>
    <t xml:space="preserve">LEITO </t>
  </si>
  <si>
    <t>DIH</t>
  </si>
  <si>
    <t>D.UTI</t>
  </si>
  <si>
    <t>PREV.  ALTA</t>
  </si>
  <si>
    <t>QNTOS DIAS:</t>
  </si>
  <si>
    <t>HDA</t>
  </si>
  <si>
    <t>PACIENTE  ADMITIDA POR RNC, SUSPEITA  DE MENINGITE  COM LIQUOR NEGATIVO,  MASA  CERVICAL ANTERIOR E MEDIASTINO / ANTECEDENTE  DE PARKINSON, MANTEM  NEUROLOGICO ALTERADO , EVOLUI COM PAV DURANTE INTERNAÇAO.</t>
  </si>
  <si>
    <t>DATA</t>
  </si>
  <si>
    <t>HPP</t>
  </si>
  <si>
    <t xml:space="preserve">DOENÇA DE PARKINSON , NEO TIREÓIDE </t>
  </si>
  <si>
    <t>MUC</t>
  </si>
  <si>
    <t>DULOXETINA, MIRTAZPINA, PROLOPA, MARTIDAN</t>
  </si>
  <si>
    <t>SUBJETIVO</t>
  </si>
  <si>
    <t>OBJETIVO</t>
  </si>
  <si>
    <t>ANALISE POR SISTEMA</t>
  </si>
  <si>
    <t xml:space="preserve">PLANO DO DIA </t>
  </si>
  <si>
    <t>QX: PACIENTE, FAMILIAR, EQUIPE ASSISTENCIAL</t>
  </si>
  <si>
    <t xml:space="preserve">EXAME FÍSICO ALTERADO: </t>
  </si>
  <si>
    <t xml:space="preserve">1) NEURO </t>
  </si>
  <si>
    <t>DESORIENTADA, GEMENTE HIPERSECRETIVA, RONCUS  ESPARSOS</t>
  </si>
  <si>
    <t>SEDOANALGESIA</t>
  </si>
  <si>
    <t>VAZÃO</t>
  </si>
  <si>
    <t>INICIO</t>
  </si>
  <si>
    <t>FIM</t>
  </si>
  <si>
    <t>GLASGOW</t>
  </si>
  <si>
    <t xml:space="preserve">AGURDA RESONANCIA//TENTAR  ALTA  PARA  ESTIMULO  FAMILIAR </t>
  </si>
  <si>
    <t xml:space="preserve">GEMENTE  </t>
  </si>
  <si>
    <t>PRECEDEX 2X</t>
  </si>
  <si>
    <t>RASS:</t>
  </si>
  <si>
    <t>Pupilas:</t>
  </si>
  <si>
    <t>PIRF</t>
  </si>
  <si>
    <t>DESPERTAR DIARIO/RASS&lt;-2</t>
  </si>
  <si>
    <t>NA</t>
  </si>
  <si>
    <t>- Rodizio de sedação?</t>
  </si>
  <si>
    <t>Avaliação dor/analgesia</t>
  </si>
  <si>
    <t>SIM</t>
  </si>
  <si>
    <t>IMPRESSÃO GERAL</t>
  </si>
  <si>
    <t>CONTROLES DE ENFERMAGEM</t>
  </si>
  <si>
    <t>HEMODIALISE</t>
  </si>
  <si>
    <t>BALANÇO HIDRICO:</t>
  </si>
  <si>
    <t>3) CARDIOVASCULAR</t>
  </si>
  <si>
    <t>(Das ultimas 24 h)</t>
  </si>
  <si>
    <t>CONTROLE DE (h)</t>
  </si>
  <si>
    <t>TEMPO</t>
  </si>
  <si>
    <t>PERDAS</t>
  </si>
  <si>
    <t>DIURESE:</t>
  </si>
  <si>
    <t>DVAs</t>
  </si>
  <si>
    <r>
      <rPr>
        <rFont val="Arial"/>
        <color theme="1"/>
        <sz val="7.0"/>
      </rPr>
      <t xml:space="preserve">PAM / </t>
    </r>
    <r>
      <rPr>
        <rFont val="Arial"/>
        <color theme="1"/>
        <sz val="7.0"/>
      </rPr>
      <t>MMNHG</t>
    </r>
  </si>
  <si>
    <t>INICIO  VASOPRESSINA E DESMAME PROGRSSIVO DE NORA</t>
  </si>
  <si>
    <t>BEG</t>
  </si>
  <si>
    <t>MIN</t>
  </si>
  <si>
    <t>MAX</t>
  </si>
  <si>
    <t>NORADRENALINA 4X</t>
  </si>
  <si>
    <t>FC</t>
  </si>
  <si>
    <t>REG</t>
  </si>
  <si>
    <t>PAM:</t>
  </si>
  <si>
    <t>HMD:</t>
  </si>
  <si>
    <t>--</t>
  </si>
  <si>
    <t>VASOPRESSINA 2X</t>
  </si>
  <si>
    <t>TEC</t>
  </si>
  <si>
    <t>MEG</t>
  </si>
  <si>
    <t>ESTAVEL HMD</t>
  </si>
  <si>
    <t>NÃO</t>
  </si>
  <si>
    <t>EVOLUÇÃO</t>
  </si>
  <si>
    <t>FR</t>
  </si>
  <si>
    <t>BH:</t>
  </si>
  <si>
    <t>REDUZIR DVAs</t>
  </si>
  <si>
    <t>FAVORÁVEL</t>
  </si>
  <si>
    <t>TEMP</t>
  </si>
  <si>
    <t>DRENOS</t>
  </si>
  <si>
    <t>ALTERAÇÕES ECG</t>
  </si>
  <si>
    <t>ESTACIONÁRIA</t>
  </si>
  <si>
    <t>SAT</t>
  </si>
  <si>
    <t>SNE</t>
  </si>
  <si>
    <t>ULTIMA EVACUAÇÃO (DATA)</t>
  </si>
  <si>
    <t>2) RESPIRATÓRIO</t>
  </si>
  <si>
    <t>DESFAVORÁVEL</t>
  </si>
  <si>
    <t>DEXTRO</t>
  </si>
  <si>
    <t>Ventilação:</t>
  </si>
  <si>
    <t>AA</t>
  </si>
  <si>
    <t>MODO</t>
  </si>
  <si>
    <t>RIMA</t>
  </si>
  <si>
    <t xml:space="preserve">MANHA: </t>
  </si>
  <si>
    <t xml:space="preserve"> NOITE: ASP VAS MEDIA QNTD ASPECTO  DE DIETA  ENTERAL // RX  CONTROLE  DE  SNE</t>
  </si>
  <si>
    <t>POR QUÊ ?</t>
  </si>
  <si>
    <t xml:space="preserve">Protocolo de Desmame: </t>
  </si>
  <si>
    <t>Relação I:E</t>
  </si>
  <si>
    <t>MANTEM  GEMENCIA  , DESORIENTADA, DVAS DEPENDIENTE</t>
  </si>
  <si>
    <t>LABORATORIAIS ALTERADOS</t>
  </si>
  <si>
    <t>CULTURAS / SOROLOGIAS</t>
  </si>
  <si>
    <t xml:space="preserve">Data de prona: </t>
  </si>
  <si>
    <t>FIO2</t>
  </si>
  <si>
    <t>Ppico</t>
  </si>
  <si>
    <t>TARDE:</t>
  </si>
  <si>
    <t>ONTEM</t>
  </si>
  <si>
    <t>HOJE</t>
  </si>
  <si>
    <t>TIPO</t>
  </si>
  <si>
    <t>RESULTADO</t>
  </si>
  <si>
    <t>Pcuff  Manha</t>
  </si>
  <si>
    <t>PEEP</t>
  </si>
  <si>
    <t>Pplatô</t>
  </si>
  <si>
    <t>ASP VAS</t>
  </si>
  <si>
    <t>Hemoglobina</t>
  </si>
  <si>
    <t>ST</t>
  </si>
  <si>
    <t>PSEUDOMONAS MULTI R.</t>
  </si>
  <si>
    <t>Pcuff  Tarde</t>
  </si>
  <si>
    <t>PC/VC/PS</t>
  </si>
  <si>
    <t>IRRS/Tobin</t>
  </si>
  <si>
    <t>NOITE:</t>
  </si>
  <si>
    <t>Hematocrito</t>
  </si>
  <si>
    <t>Pcuff  Noite</t>
  </si>
  <si>
    <t>Fluxo</t>
  </si>
  <si>
    <t>DP</t>
  </si>
  <si>
    <t>Leucocitos</t>
  </si>
  <si>
    <t>4) ABDOMINAL /NUTRI</t>
  </si>
  <si>
    <t>ESCALAS</t>
  </si>
  <si>
    <t>plaquetas</t>
  </si>
  <si>
    <t>DIBEN</t>
  </si>
  <si>
    <t>VIA</t>
  </si>
  <si>
    <t>PESO:</t>
  </si>
  <si>
    <t>APRIMORAR  PROCINETICOS/ CLISTER PRÉ BANHO</t>
  </si>
  <si>
    <t>BRADEN</t>
  </si>
  <si>
    <t>06 A 09</t>
  </si>
  <si>
    <t>PCR</t>
  </si>
  <si>
    <t>VAZÃO ATUAL:</t>
  </si>
  <si>
    <t>50ML</t>
  </si>
  <si>
    <t>VAZÃO META:</t>
  </si>
  <si>
    <t>56 ML/H</t>
  </si>
  <si>
    <t>ÁGUA:</t>
  </si>
  <si>
    <t>RH</t>
  </si>
  <si>
    <t>MORSE</t>
  </si>
  <si>
    <t xml:space="preserve">&gt; 51 </t>
  </si>
  <si>
    <t>Uréia</t>
  </si>
  <si>
    <t>Atingidiu meta 2000 kcal?</t>
  </si>
  <si>
    <t xml:space="preserve">OBS: 56 ML/H  + SUPLEMENTAÇÃO, RESTRIÇAO HIDRICA POR  BALANÇO MUITO  POSITIVO </t>
  </si>
  <si>
    <t>FUGULIN</t>
  </si>
  <si>
    <t xml:space="preserve">21 - 26 </t>
  </si>
  <si>
    <t>Creatinina</t>
  </si>
  <si>
    <t>Glicemia(alvo80-180mg/dl)?</t>
  </si>
  <si>
    <t>PPS</t>
  </si>
  <si>
    <t>Sódio</t>
  </si>
  <si>
    <t>Evacuação normal?</t>
  </si>
  <si>
    <t>SAPS3</t>
  </si>
  <si>
    <t>Potássio</t>
  </si>
  <si>
    <t>Profilaxia úlceras gástricas?</t>
  </si>
  <si>
    <t>TX.MORT%</t>
  </si>
  <si>
    <t>Calcio</t>
  </si>
  <si>
    <t>EXAMES DE IMAGENS</t>
  </si>
  <si>
    <t>5) RENAL  /  GENITOURINARIO</t>
  </si>
  <si>
    <t>DIGNO DE NOTA</t>
  </si>
  <si>
    <t>Magnésio</t>
  </si>
  <si>
    <t>Balanço hídrico neutro:</t>
  </si>
  <si>
    <t>OBS:</t>
  </si>
  <si>
    <t>SUSPENSO DIURÉTICO, CORREÇÃO DE POTASSIO</t>
  </si>
  <si>
    <t>17/12; ASPIRAÇAO  DE VIAS AEREAS  COM ASPECTO  DE DIETA  ,SUSPENSO DIETA E ABERTO SNE PÓREM SEM DEBITO</t>
  </si>
  <si>
    <t>Albumina</t>
  </si>
  <si>
    <t>USG</t>
  </si>
  <si>
    <t>MICROLITIASE VESICULA BILIAR</t>
  </si>
  <si>
    <t>Reposição eletrolítica?</t>
  </si>
  <si>
    <t>Troponina</t>
  </si>
  <si>
    <t>Diurese &gt; 0,5 ml / Kg/H?</t>
  </si>
  <si>
    <t>CPK</t>
  </si>
  <si>
    <t xml:space="preserve">Plano Dialítico </t>
  </si>
  <si>
    <t>CKMB</t>
  </si>
  <si>
    <t>Inicio de Dialise</t>
  </si>
  <si>
    <t>Lactato</t>
  </si>
  <si>
    <t>6) INFECCIOSO  /  HEMATO</t>
  </si>
  <si>
    <t>Outros</t>
  </si>
  <si>
    <t>FEBRE?</t>
  </si>
  <si>
    <t>ATB</t>
  </si>
  <si>
    <t>INÍCIO</t>
  </si>
  <si>
    <t xml:space="preserve">POLIMIXINA B  CORRER EM  GLICOSADO 250 ML EM  BIC  3  HRS  </t>
  </si>
  <si>
    <t xml:space="preserve">GASOMETRIA </t>
  </si>
  <si>
    <t>DISPOSITIVOS</t>
  </si>
  <si>
    <t>DESESCALONAR ATB ?</t>
  </si>
  <si>
    <t>TAZOCIN</t>
  </si>
  <si>
    <t>SÍTIO</t>
  </si>
  <si>
    <t>N°-RIMA</t>
  </si>
  <si>
    <t>INSERÇÃO</t>
  </si>
  <si>
    <t>RETIRADA</t>
  </si>
  <si>
    <t>CULTURAS CHECADAS?</t>
  </si>
  <si>
    <t>VANCOMICINA</t>
  </si>
  <si>
    <t>pH:</t>
  </si>
  <si>
    <t xml:space="preserve">CVC </t>
  </si>
  <si>
    <t>VFD</t>
  </si>
  <si>
    <t>DEVE DESINVADIR DISPOSITIVOS ?</t>
  </si>
  <si>
    <t>ACICLOVIR</t>
  </si>
  <si>
    <t>PaCO2</t>
  </si>
  <si>
    <t xml:space="preserve">SVD </t>
  </si>
  <si>
    <t xml:space="preserve">Nº 16 </t>
  </si>
  <si>
    <t>PROFILAXIA TVP?</t>
  </si>
  <si>
    <t xml:space="preserve">POLIMIXINA </t>
  </si>
  <si>
    <t>PaO2</t>
  </si>
  <si>
    <t xml:space="preserve">SNE </t>
  </si>
  <si>
    <t>Nº 12</t>
  </si>
  <si>
    <t>Se não, motivo:</t>
  </si>
  <si>
    <t>HCO3</t>
  </si>
  <si>
    <t>VSD</t>
  </si>
  <si>
    <t>7) OUTROS</t>
  </si>
  <si>
    <t>BE</t>
  </si>
  <si>
    <t>TOT</t>
  </si>
  <si>
    <t>2711/25</t>
  </si>
  <si>
    <t>LPP local</t>
  </si>
  <si>
    <t>SACRAL</t>
  </si>
  <si>
    <t>ESTÁGIO</t>
  </si>
  <si>
    <t>INCLASSIFICÁVEL</t>
  </si>
  <si>
    <t>ATUALIZAR CROSS</t>
  </si>
  <si>
    <t>SatO2</t>
  </si>
  <si>
    <t>Pele Admissão</t>
  </si>
  <si>
    <t>LP 2 SACRAL</t>
  </si>
  <si>
    <t>Pele evolução</t>
  </si>
  <si>
    <t>IO</t>
  </si>
  <si>
    <t>Cabeceira 30°</t>
  </si>
  <si>
    <t xml:space="preserve">CURATIVO: </t>
  </si>
  <si>
    <t>Oftalmoproteção</t>
  </si>
  <si>
    <t>GAPCO2;</t>
  </si>
  <si>
    <t>Mudança de decúbito</t>
  </si>
  <si>
    <t xml:space="preserve">IMS (ESCALA MOBILIDADE): </t>
  </si>
  <si>
    <t>LAB.HOJE:</t>
  </si>
  <si>
    <t>Hb 8,0 | Ht 24,9% | Leuco 14.070 (Miel 0% / Metam 0% / Bast 0% / Seg 88,8% / Eos 0,4% / Linf 5,4% / Mon 5,3%) | Plaq 251.000 | Ur 75,9 | Cr 0,5 | Na 140 | K 2,6 | PCR 39,5</t>
  </si>
  <si>
    <t>ZILDA DE OLIVEIRA ZOCATELLI</t>
  </si>
  <si>
    <r>
      <t xml:space="preserve">ALERGIAS </t>
    </r>
    <r>
      <rPr>
        <rFont val="Arial"/>
        <b/>
        <color theme="1"/>
        <sz val="7.0"/>
      </rPr>
      <t>(anotar quando tiver)</t>
    </r>
  </si>
  <si>
    <t xml:space="preserve">1. IC DESCOMPENSADA PERFIL B - 2. FEBRE MACULOSA?
3. PNEUMONIA - 4. FARMACODERMIA? -5. HIPONATREMIA
 6. HDB  7.CHOQUE  MISTO  </t>
  </si>
  <si>
    <t xml:space="preserve"> PACIENTE DA ENTRADA NO PS PELO SAMU, COM QUEIXAS DE EDEMAS EM MMII, DISPNEIA, TOSSE, FILHA RELATA QUE A MESMA TEVE CONTATO COM CARRAPATOS HA 20 DIAS</t>
  </si>
  <si>
    <t xml:space="preserve">HAS </t>
  </si>
  <si>
    <t xml:space="preserve">LOSARTANA 50 MG </t>
  </si>
  <si>
    <t xml:space="preserve">PALIDA  DESORIENTADA, ABDOME DOLOROSO A PALPAÇAO DIFUSA  COM  DEFENSA  PERITOENAL / MAL DISTRUBUIDA TEMPO DE ENCHIMENTO CAPILAR &lt; 3SEG, DEPENDIENTE DE OXIGENIO  , HIPOTENSA,  RONCUS  ABUNDANTES  EM AUSCULTA PULMONAR </t>
  </si>
  <si>
    <t xml:space="preserve">ALGICA  , DOR  ABDOMINAL  IMPORTANTE </t>
  </si>
  <si>
    <t>MIDAZOLAM 2X</t>
  </si>
  <si>
    <t>FENTANIL</t>
  </si>
  <si>
    <r>
      <rPr>
        <rFont val="Arial"/>
        <color theme="1"/>
        <sz val="7.0"/>
      </rPr>
      <t xml:space="preserve">PAM / </t>
    </r>
    <r>
      <rPr>
        <rFont val="Arial"/>
        <color theme="1"/>
        <sz val="7.0"/>
      </rPr>
      <t>MMNHG</t>
    </r>
  </si>
  <si>
    <t>ASOCIAR  VASOPRESSINA , HIDROCORTISONA  DOSE  CHOQUE</t>
  </si>
  <si>
    <t>PAM</t>
  </si>
  <si>
    <t>DOBUTAMINA 4X</t>
  </si>
  <si>
    <t>-</t>
  </si>
  <si>
    <t>2.074(+)</t>
  </si>
  <si>
    <t>VCV</t>
  </si>
  <si>
    <t>MANHÃ</t>
  </si>
  <si>
    <t>TC SUSPENSA POR INSTABILIDADE</t>
  </si>
  <si>
    <t xml:space="preserve">RETIRADA  DVAS, TOLEROU  DIETA  VO, SEM HEMORRGIA ATIVA </t>
  </si>
  <si>
    <t>RNC - IOT</t>
  </si>
  <si>
    <t xml:space="preserve">SWAB </t>
  </si>
  <si>
    <t>ACINETO</t>
  </si>
  <si>
    <t>HEMO/URO</t>
  </si>
  <si>
    <t>Secretiva</t>
  </si>
  <si>
    <t xml:space="preserve">HEMO </t>
  </si>
  <si>
    <t>JEJUM</t>
  </si>
  <si>
    <t>MANTER JEJUM  POR INSTABILIDADE</t>
  </si>
  <si>
    <t>10  -  12</t>
  </si>
  <si>
    <t>58ML/H</t>
  </si>
  <si>
    <t>41  -  51</t>
  </si>
  <si>
    <r>
      <rPr>
        <rFont val="Arial"/>
        <color theme="1"/>
        <sz val="8.0"/>
      </rPr>
      <t xml:space="preserve"> </t>
    </r>
    <r>
      <rPr>
        <rFont val="Arial"/>
        <color theme="1"/>
        <sz val="7.0"/>
      </rPr>
      <t>OBS: SNE</t>
    </r>
  </si>
  <si>
    <t>&gt;31</t>
  </si>
  <si>
    <t>INICIAR HCTZ , RESTRINGIR CLORETOS/ MANTER  PAM &gt;90</t>
  </si>
  <si>
    <t>16/12- SACADO CVD, MANTIDO CVC, SEM CONDIÇÃO PERIFERICO  // PACIENTE COM RNC, EVOLUI PARA TOT, PROCEDIMENTO SEM INTERCORRENCIAS./ PENDENTE TOMO DE TÓRAX, URINA 1 E UROCULTURA, MANTÉM DIETA SUSPEMSA DEVIDO A INSTABILIDADE, SUPENSO TOMOGRAFIA DE TÓRAX DEVIDO A INSTABILIDADE HEMODINAMICA.</t>
  </si>
  <si>
    <t>TC CRN</t>
  </si>
  <si>
    <t>https://mobilemed-prod.s3.amazonaws.com/producao/exame/laudo_signed/1765419598282-I96ry~3E2Iu3kvxcL018uiE5~fsYJY.pdf</t>
  </si>
  <si>
    <t>TC ABD / PELVE</t>
  </si>
  <si>
    <t>https://mobilemed-prod.s3.amazonaws.com/producao/exame/laudo_signed/1765419327316-DMHFElGQ6WLaGnoo8Gz7Zn0spXETZ4.pdf</t>
  </si>
  <si>
    <t>EDA</t>
  </si>
  <si>
    <t xml:space="preserve">EROSAO PLANA  BULBAR (FORREST III) </t>
  </si>
  <si>
    <t>ECO</t>
  </si>
  <si>
    <t>FE;54%/ACINECIA  SEPTO INF, APICAL</t>
  </si>
  <si>
    <t>RX</t>
  </si>
  <si>
    <t>ESCALONADO  ATB  / ISOLAR PRECAUÇÃO DE CONTATO</t>
  </si>
  <si>
    <t>CEFTRIAXONA</t>
  </si>
  <si>
    <t>Horário Coleta:</t>
  </si>
  <si>
    <t>METRONIDAZOL</t>
  </si>
  <si>
    <t xml:space="preserve">VJD </t>
  </si>
  <si>
    <t>CVD</t>
  </si>
  <si>
    <t>Nº 16</t>
  </si>
  <si>
    <t>MEROPENEM</t>
  </si>
  <si>
    <t>CNE 12</t>
  </si>
  <si>
    <t>SANGRAMENTO</t>
  </si>
  <si>
    <t>TOT 8,0</t>
  </si>
  <si>
    <t xml:space="preserve">PELE INTEGRA </t>
  </si>
  <si>
    <t>N/A</t>
  </si>
  <si>
    <t>AGUARDA  ESTABILIADADE PARA  COLONOSCOPIA</t>
  </si>
  <si>
    <t>INTEGRO</t>
  </si>
  <si>
    <t>LPP ESTAGIOII</t>
  </si>
  <si>
    <t>CURATIVO: CURATIVO REALIZADO COM HIDROGEL</t>
  </si>
  <si>
    <t>Hb 9,0 | Ht 27,5% | Leuco 19.980 (Miel 0% / Metam 0% / Bast 0% / Seg 93,3% / Eos 0,2% / Linf 3,5% / Mon 3,0%) | Plaq 195.000 | Ur 79,5 | Cr 1,2 | Na 162 | K 3,6 | PCR 40,2 | Gas: pH 7,38 / pCO2 38,4 / pO2 72,7 / HCO3 22,5 / BE -2,5 / SO₂ 94,5%</t>
  </si>
  <si>
    <t>VERA LUCIA BARBOSA</t>
  </si>
  <si>
    <r>
      <t xml:space="preserve">ALERGIAS </t>
    </r>
    <r>
      <rPr>
        <rFont val="Arial"/>
        <b/>
        <color theme="1"/>
        <sz val="7.0"/>
      </rPr>
      <t>(anotar quando tiver)</t>
    </r>
  </si>
  <si>
    <t>PENICILINA</t>
  </si>
  <si>
    <t>AVCH</t>
  </si>
  <si>
    <t xml:space="preserve">PACIENTE ENCAMINHADA DA UPA, RECEBIDA PELA MANHA DE HOJE, POR OUTRO PLANTONISTA COM A SEGUINTE HISTORIA: PACIENTE TRAZIDA À UNIDADE - UPA - PELO FILHO COM RELATO DE A MESMA TER INICIADO QUADRO SÚBITO DE NÁUSEAS, VÔMITOS, SONOLÊNCIA E REBAIXAMENTO DO NÍVEL DE CONSCIÊNCIA SÚBITO. INÍCIO POR VOLTA DAS 22H. ATÉ ENTÃO, ENCONTRAVA SE EM SEU ESTADO BASAL. DÁ ENTRADA SONOLENTA, APRESENTANDO VÔMITOS ESCURECIDOS EM GRANDE QUANTIDADE - SEM REAÇÃO COM Á GUA OXIGENADA. PCT. APRESENTA PIORA DO QUADRO GERAL (NEUROLÓGICO, CLINICO E RESPIRATORIO) COM REDUÇÃO DO GLASGOW ABAIXO DE 08 SENDO NECESSARIO REALIZAÇÃO DE IOT SOB SEDAÇÃO + SEDAÇÃO CONTINUA. </t>
  </si>
  <si>
    <t>HAS</t>
  </si>
  <si>
    <t>CROSS PARA NEUROCG</t>
  </si>
  <si>
    <t>PINFR</t>
  </si>
  <si>
    <r>
      <rPr>
        <rFont val="Arial"/>
        <color theme="1"/>
        <sz val="7.0"/>
      </rPr>
      <t xml:space="preserve">PAM / </t>
    </r>
    <r>
      <rPr>
        <rFont val="Arial"/>
        <color theme="1"/>
        <sz val="7.0"/>
      </rPr>
      <t>MMNHG</t>
    </r>
  </si>
  <si>
    <t>PCV</t>
  </si>
  <si>
    <t>PENDENTE GASOMETRIA E RX DE TRX</t>
  </si>
  <si>
    <t>T.I</t>
  </si>
  <si>
    <t>ADMISSAO</t>
  </si>
  <si>
    <t>HEMO</t>
  </si>
  <si>
    <t>URO</t>
  </si>
  <si>
    <t>HES</t>
  </si>
  <si>
    <t>SWAB</t>
  </si>
  <si>
    <t>13 A 14</t>
  </si>
  <si>
    <t>800 DIA</t>
  </si>
  <si>
    <t>&gt;51</t>
  </si>
  <si>
    <t xml:space="preserve">OBS: </t>
  </si>
  <si>
    <t>27 A 31</t>
  </si>
  <si>
    <t>PACIENTE TRANSFERIDA PARA O HES  AS 00:15HS 18/12/25,PARA AVLIAÇÃO DA NRC, NÃO CONSEGUI ENTRAR EM CONTATO COM FAMILIARES PARA AVISAR DA TRANSFERENCIA,REALIZADO VARIAS TENTATIVAS SEM SUCESSO.</t>
  </si>
  <si>
    <t xml:space="preserve">TC CRN </t>
  </si>
  <si>
    <t>https://mobilemed-prod.s3.amazonaws.com/producao/exame/laudo_signed/1766004662832-N16od8fodkH060kveySOmEG1VBAkoZ.pdf</t>
  </si>
  <si>
    <t>TC TRX</t>
  </si>
  <si>
    <t>https://mobilemed-prod.s3.amazonaws.com/producao/exame/laudo_signed/1766004664586-x9Fke_qV3WmR5SPGvvPlRjPp1CnO4a.pdf</t>
  </si>
  <si>
    <t>AGUARDA CULTURAS</t>
  </si>
  <si>
    <t>HORARIO</t>
  </si>
  <si>
    <t xml:space="preserve">ROTINA </t>
  </si>
  <si>
    <t>PH</t>
  </si>
  <si>
    <t>TOT 7,5</t>
  </si>
  <si>
    <t>CVD 16</t>
  </si>
  <si>
    <t xml:space="preserve">AVP </t>
  </si>
  <si>
    <t>MSD 18</t>
  </si>
  <si>
    <t>SNE 12</t>
  </si>
  <si>
    <t>I</t>
  </si>
  <si>
    <t>LUIZ FERNANDO SIRQUEIRA</t>
  </si>
  <si>
    <r>
      <t xml:space="preserve">ALERGIAS </t>
    </r>
    <r>
      <rPr>
        <rFont val="Arial"/>
        <b/>
        <color theme="1"/>
        <sz val="7.0"/>
      </rPr>
      <t>(anotar quando tiver)</t>
    </r>
  </si>
  <si>
    <t>NEGA</t>
  </si>
  <si>
    <t xml:space="preserve">LE (14/12)  LISE DE BRIDAS + DRENAGEM DE ABSCESSO DE FERIDA OPERATÓRIA
 / PO3 (11/12) APENDICECTOMIA </t>
  </si>
  <si>
    <t xml:space="preserve">LEITO  </t>
  </si>
  <si>
    <t>PACIENTE COMPARECE NA UNIDADE COM RELATO DE INAPETÊNCIA, NÁUSEAS, VOMITOS, DOR ABDOMINAL DIFUSA HÁ 3 DIAS APÓS APENDICECTOMIA. NEGA FEBRE. AFIRMA CONSTIPAÇÃO INTESTINAL. NEGA DEMAIS QUEIXAS E SINTOMAS.</t>
  </si>
  <si>
    <t>TBG, ETILISMO E UDI, HERNIA DE DISCO</t>
  </si>
  <si>
    <t xml:space="preserve">ANSIOSO,  DISTENSAO ABDOMINAL  APOS DIETA, ELIMINAÇAO  FLATOS  , EVACUO 1  VEZ  </t>
  </si>
  <si>
    <t>APRIMORAR  ANALGESIA  EVITAR  OPIOIDES</t>
  </si>
  <si>
    <t>ANSIOSO,  DOR  EM REGIAO  COLUMNA</t>
  </si>
  <si>
    <r>
      <rPr>
        <rFont val="Arial"/>
        <color theme="1"/>
        <sz val="7.0"/>
      </rPr>
      <t xml:space="preserve">PAM / </t>
    </r>
    <r>
      <rPr>
        <rFont val="Arial"/>
        <color theme="1"/>
        <sz val="7.0"/>
      </rPr>
      <t>MMNHG</t>
    </r>
  </si>
  <si>
    <t xml:space="preserve"> </t>
  </si>
  <si>
    <t>71(-)</t>
  </si>
  <si>
    <t>37.2</t>
  </si>
  <si>
    <t>SNG</t>
  </si>
  <si>
    <t>PENROSE</t>
  </si>
  <si>
    <t>17/12/2025 (+)</t>
  </si>
  <si>
    <t>FISIOTERAPIA MOTORA  ,  TOLERA  DEAMBULAÇAO E BANHO CHUVEIRO</t>
  </si>
  <si>
    <t>SWABS</t>
  </si>
  <si>
    <t>ORAL</t>
  </si>
  <si>
    <t>OTIMIZAR PROCINETICOS , DISCUTIR  NOVA  TENTATIVA DE DIETA  COM  CC</t>
  </si>
  <si>
    <t>13  -14</t>
  </si>
  <si>
    <t>LIQUIDA</t>
  </si>
  <si>
    <t>&lt;41</t>
  </si>
  <si>
    <t xml:space="preserve">ALMOÇO/JANTAR: SOPA COADA </t>
  </si>
  <si>
    <t>15  -20</t>
  </si>
  <si>
    <t>MANTER KALEMIA  &gt;4  POR  ILEO</t>
  </si>
  <si>
    <t>16/10- MANTENDO CNG FECHADO LIBERADO DIETA AGUA, CHA E GELATINA/ ABERTO SNG DEVIDO DISTENSÃO ABDOMINAL- OBSERVAR,REALIZADO BANHO DE ASPERSÃO, DEAMBULOU ATÉ O WC, FICOU SENTADO NA POLTRONA.</t>
  </si>
  <si>
    <t>VIGILANCIA INFECCIOSA , COM CEFTRIAXONA E METRONIDAZOL EM PRESCRIÇÃO (CARTA VENCIDA)</t>
  </si>
  <si>
    <t xml:space="preserve">METRONIDAZOL </t>
  </si>
  <si>
    <t>AVP  Nº20</t>
  </si>
  <si>
    <t>MSE</t>
  </si>
  <si>
    <t>N°14</t>
  </si>
  <si>
    <t>DIREITA</t>
  </si>
  <si>
    <t>SEM</t>
  </si>
  <si>
    <t>SEDESTAÇAO /AMBULAÇAO // MANTER  COLCHAO DESINSUFLADO</t>
  </si>
  <si>
    <t>integra</t>
  </si>
  <si>
    <t xml:space="preserve">* FO EM ABDOME </t>
  </si>
  <si>
    <t>Hb 11,0 | Ht 33,1% | Leuco 8.210 (Miel 0% / Metam 0% / Bast 0% / Seg 79,3% / Eos 2,0% / Linf 16,1% / Mon 2,3%) | Plaq 371.000 | Ur 20,5 | Cr 0,8 | Na 138 | K 3,6 | PCR 67,3</t>
  </si>
  <si>
    <r>
      <t xml:space="preserve">ALERGIAS </t>
    </r>
    <r>
      <rPr>
        <rFont val="Arial"/>
        <b/>
        <color theme="1"/>
        <sz val="8.0"/>
      </rPr>
      <t>(anotar quando tiver)</t>
    </r>
  </si>
  <si>
    <r>
      <rPr>
        <rFont val="Arial"/>
        <color theme="1"/>
        <sz val="7.0"/>
      </rPr>
      <t xml:space="preserve">PAM / </t>
    </r>
    <r>
      <rPr>
        <rFont val="Arial"/>
        <color theme="1"/>
        <sz val="7.0"/>
      </rPr>
      <t>MMNHG</t>
    </r>
  </si>
  <si>
    <t>TOSSE</t>
  </si>
  <si>
    <t>ALTURA:</t>
  </si>
  <si>
    <r>
      <t xml:space="preserve">ALERGIAS </t>
    </r>
    <r>
      <rPr>
        <rFont val="Arial"/>
        <b/>
        <color theme="1"/>
        <sz val="8.0"/>
      </rPr>
      <t>(anotar quando tiver)</t>
    </r>
  </si>
  <si>
    <r>
      <rPr>
        <rFont val="Arial"/>
        <color theme="1"/>
        <sz val="7.0"/>
      </rPr>
      <t xml:space="preserve">PAM / </t>
    </r>
    <r>
      <rPr>
        <rFont val="Arial"/>
        <color theme="1"/>
        <sz val="7.0"/>
      </rPr>
      <t>MMNHG</t>
    </r>
  </si>
  <si>
    <r>
      <t xml:space="preserve">ALERGIAS </t>
    </r>
    <r>
      <rPr>
        <rFont val="Arial"/>
        <b/>
        <color theme="1"/>
        <sz val="8.0"/>
      </rPr>
      <t>(anotar quando tiver)</t>
    </r>
  </si>
  <si>
    <t xml:space="preserve">
1-TAQUIARRITMIA
     &gt;&gt; TAQUICARDIA VENTRICULAR SEM INSTABILIDADE HEMODINÂMICA
2- IC PERFIL B
3-  ITU 
	</t>
  </si>
  <si>
    <t xml:space="preserve">TAQUIARRITMIA /FAAARV/ IRA / </t>
  </si>
  <si>
    <t xml:space="preserve">PACIENTE COM  EPISODIOS DE DISPNEIA,  DESTURAÇAO ,  EDEMA  ,  INTERNADO  REALIZADO  MEDIDA  PARA EAP, CONTROLE  DE  FC,  E  PASSAGEM  DE  SVD  COM  MELHORA  CLINICA  DE  IRA.  MANTENDO  FAARV  </t>
  </si>
  <si>
    <t xml:space="preserve"> BATIMENTO  ARRITMICOS  IRREGULARES ,ENCHIMENTO  CAPILAR  DIMINUIDO EM MEMBROS </t>
  </si>
  <si>
    <t>SEM QUEIXAS</t>
  </si>
  <si>
    <r>
      <rPr>
        <rFont val="Arial"/>
        <color theme="1"/>
        <sz val="7.0"/>
      </rPr>
      <t xml:space="preserve">PAM / </t>
    </r>
    <r>
      <rPr>
        <rFont val="Arial"/>
        <color theme="1"/>
        <sz val="7.0"/>
      </rPr>
      <t>MMNHG</t>
    </r>
  </si>
  <si>
    <t xml:space="preserve">FAAAR EM  AMIODARONA DOSE  DE IMPREGNAÇAO  TERMINO HOJE ,  MANTER  DOSE  VO/ SOLICITAR ECOCARDIOGRAMA </t>
  </si>
  <si>
    <t>AMIODARONA X6</t>
  </si>
  <si>
    <t>36.2</t>
  </si>
  <si>
    <t>?</t>
  </si>
  <si>
    <t>Há 1 semana (SIC)</t>
  </si>
  <si>
    <t>SpO2 = oximetro: 75% // SpO2 Gaso: 98%</t>
  </si>
  <si>
    <t>SWAB RETAL</t>
  </si>
  <si>
    <t>SWAB NASAL</t>
  </si>
  <si>
    <t>LEVE HAS/DM</t>
  </si>
  <si>
    <t>1500 ML</t>
  </si>
  <si>
    <t>AJUSTAR INSULINA//FAZER MEDIDAS LAXATIVAS//CLISTER  GLICERINADO</t>
  </si>
  <si>
    <t>19 - 23</t>
  </si>
  <si>
    <t>41  -51</t>
  </si>
  <si>
    <t>15  -  20</t>
  </si>
  <si>
    <t xml:space="preserve"> 17/12; PACIENTE  COM  DESATURAÇAO  PERIFERICA  NAO  CONCORDANTE  COM  GASOMETRIA ARTERIAL  </t>
  </si>
  <si>
    <t xml:space="preserve">PIORA DE LEUCOCITOS  , VIGILANCIA INFECCIOSA </t>
  </si>
  <si>
    <t xml:space="preserve">CLAVULIN 
</t>
  </si>
  <si>
    <t>AVP</t>
  </si>
  <si>
    <t>INTEGRA</t>
  </si>
  <si>
    <t>Hb 12,0 | Ht 36,2% | Leuco 24.240 (Miel 0% / Metam 0% / Bast 0% / Seg 81,0% / Eos 0,6% / Linf 12,4% / Mon 6,0%) | Plaq 251.000 | Ur 49,6 | Cr 0,8 | Na 132 | K 3,6 | Ca 7,20 | Mg 1,92 | PCR 55,4 | TP Ativ 56,0% (RNI 1,53 / T 17,6s) | TTPa 40s (rel 1,25) | Gas: pH 7,51 / pCO2 37,2 / pO2 132,5 / HCO3 29,4 / BE 6,5 / SO₂ 98,9%</t>
  </si>
  <si>
    <t>ELIZABETI GONÇALVES BRAGA</t>
  </si>
  <si>
    <r>
      <t xml:space="preserve">ALERGIAS </t>
    </r>
    <r>
      <rPr>
        <rFont val="Arial"/>
        <b/>
        <color theme="1"/>
        <sz val="7.0"/>
      </rPr>
      <t>(anotar quando tiver)</t>
    </r>
  </si>
  <si>
    <t>PO 03/12/2025 DE DESBRIDAMENTO PERIANAL + COXA ESQUERDA DEVIDO SD DE FOURNIER</t>
  </si>
  <si>
    <t>PACIENTE COM SÍNDROME DE FOURNIER GRAVE.  RELATA INÍCIO DE FURÚNCULO, COM PIOTA HÁ DUAS SEMANAS (SIC).  DIA 03/12 DESBIDAMENTO PERINEAL + COXA ESQUERDA DEVIDO SD DE FOURNIER - PROCEDIMENTO SEM INTERCORRENCIAS. ADMITIDA NA SALA VERMELHA EM VENTILAÇÃO MECÂNICA PROVENIENTE DO CC.</t>
  </si>
  <si>
    <t>A PACIENTE TEM OBESIDADE MÓRBIDA, DM E HAS.</t>
  </si>
  <si>
    <t>EDEMACIADA, FERIMENTO EM REGIAO  PERINEAL SECRETIVO SERO  HEMATICO</t>
  </si>
  <si>
    <t xml:space="preserve">JN MANTER SÓ ANALGESIA/ ENTRAR MULTIMODAL (GABAPENTINA) </t>
  </si>
  <si>
    <t xml:space="preserve">MANTEM SE RESPOSTA </t>
  </si>
  <si>
    <t>PRECEDEX</t>
  </si>
  <si>
    <r>
      <rPr>
        <rFont val="Arial"/>
        <color theme="1"/>
        <sz val="7.0"/>
      </rPr>
      <t xml:space="preserve">PAM / </t>
    </r>
    <r>
      <rPr>
        <rFont val="Arial"/>
        <color theme="1"/>
        <sz val="7.0"/>
      </rPr>
      <t>MMNHG</t>
    </r>
  </si>
  <si>
    <t>NORA EM DESMAME</t>
  </si>
  <si>
    <t>3H</t>
  </si>
  <si>
    <t>3H30</t>
  </si>
  <si>
    <t xml:space="preserve">6 ML/H </t>
  </si>
  <si>
    <t>INSULINA R.</t>
  </si>
  <si>
    <t>10 ML/H</t>
  </si>
  <si>
    <t>3H30MIN</t>
  </si>
  <si>
    <t>37.3</t>
  </si>
  <si>
    <t>17/12 +++</t>
  </si>
  <si>
    <t>PSV</t>
  </si>
  <si>
    <t>TENTATIVA  DE EXTUBAÇAO  ATE  21/12  ASSINAR  TERMO  TQT</t>
  </si>
  <si>
    <t>DEPENDIENTE  DE DVAS DESPERTAR  INEFICAZ</t>
  </si>
  <si>
    <t>ps 8. secretiva</t>
  </si>
  <si>
    <t>OTIMIZO NPH</t>
  </si>
  <si>
    <t>10 A 12</t>
  </si>
  <si>
    <t>75 ML/H</t>
  </si>
  <si>
    <t>OBS: LIBERADO DIETA. SUPLEMENTAÇÃO HIPERPROTEICA</t>
  </si>
  <si>
    <t>&gt; 31</t>
  </si>
  <si>
    <t>CORREÇÃO DE CALCIO E POTASSIO</t>
  </si>
  <si>
    <t xml:space="preserve"> 10/12PACIENTE APRESENTA GRANDE QUANTIDADE DE SANGRAMENTO EM FOURNIER,                                                                                                                                                          III  </t>
  </si>
  <si>
    <t>09 E 13/12</t>
  </si>
  <si>
    <t>SNE LOCADA</t>
  </si>
  <si>
    <t>ATB VAI ATE 02/01/26</t>
  </si>
  <si>
    <t>TAZO</t>
  </si>
  <si>
    <t>VANCO</t>
  </si>
  <si>
    <t>CVC</t>
  </si>
  <si>
    <t>SUBD</t>
  </si>
  <si>
    <t>SVD</t>
  </si>
  <si>
    <t>N16</t>
  </si>
  <si>
    <t>CNE</t>
  </si>
  <si>
    <t>N12</t>
  </si>
  <si>
    <t>TOT 8</t>
  </si>
  <si>
    <t>SHILLEY</t>
  </si>
  <si>
    <t>JUG:D</t>
  </si>
  <si>
    <t>INGUINAL E SACRAL</t>
  </si>
  <si>
    <t>II</t>
  </si>
  <si>
    <t>PEDIR TERMO DE TQT / AGUARDAR EVOLUÇÃO DE EXTUBAÇAO ATE SEXTA-FEIRA SE NÃO EVOLUIR PARA TQT</t>
  </si>
  <si>
    <t>TOT 7.5</t>
  </si>
  <si>
    <t>CURATIVO: PLACA DE AQUACEL CONFORME ORIENTAÇÃO DA COMISSÃO DE CURATIVO</t>
  </si>
  <si>
    <t>Hb 8,0 | Ht 24,7% | Leuco 19.880 (Miel 0% / Metam 0% / Bast 0% / Seg 83,8% / Eos 1,0% / Linf 7,6% / Mon 7,4%) | Plaq 400.000 | Ur 126,0 | Cr 3,8 | Na 136 | K 3,5 | PCR 51,4 | Gas: pH 7,30 / pCO2 37,1 / pO2 70,4 / HCO3 18,0 / BE -8,3 / SO₂ 92,7%</t>
  </si>
  <si>
    <t>ANTONIO CARLOS CASSIMIRA</t>
  </si>
  <si>
    <r>
      <t xml:space="preserve">ALERGIAS </t>
    </r>
    <r>
      <rPr>
        <rFont val="Arial"/>
        <b/>
        <color theme="1"/>
        <sz val="8.0"/>
      </rPr>
      <t>(anotar quando tiver)</t>
    </r>
  </si>
  <si>
    <t xml:space="preserve">
1- PCR REVERTIDA 
2- SCA ?
3- FAAR
</t>
  </si>
  <si>
    <t>16/12 AS</t>
  </si>
  <si>
    <t>PACIENTE ADMITIDO NA UNIDADE EM PCR APÓS MAL SÚBITO OCORRIDO DURANTE ATIVIDADE LABORAL. REALIZADOS 4 CICLOS DE RCP CONFORME PROTOCOLO ACLS. ECG PÓS-ROSC EVIDENCIOU ALTERAÇÕES DE REPOLARIZAÇÃO VENTRICULAR, COM RITMO DE FAAR, INFRADESNIVELAMENTO DO SEGMENTO ST EM DII E V1, E SUPRADESNIVELAMENTO DO ST EM V3 E V4. CASO DISCUTIDO COM DR. YANCO QUANTO À POSSIBILIDADE DE TROMBÓLISE, SENDO CONTRAINDICADA NO MOMENTO.*TROMBÓLISE NÃO LIBERADA PELO MÉDICO CARDIOLOGISTA*</t>
  </si>
  <si>
    <t xml:space="preserve">SEM RELATO </t>
  </si>
  <si>
    <t>JANELA NEUROLOGICA</t>
  </si>
  <si>
    <t>ROCURONIO</t>
  </si>
  <si>
    <t>PRECEDEX X2</t>
  </si>
  <si>
    <r>
      <rPr>
        <rFont val="Arial"/>
        <color theme="1"/>
        <sz val="7.0"/>
      </rPr>
      <t xml:space="preserve">PAM / </t>
    </r>
    <r>
      <rPr>
        <rFont val="Arial"/>
        <color theme="1"/>
        <sz val="7.0"/>
      </rPr>
      <t>MMNHG</t>
    </r>
  </si>
  <si>
    <t>CURVA  DE TROPONINA</t>
  </si>
  <si>
    <t>15ML/H</t>
  </si>
  <si>
    <t>&lt;2</t>
  </si>
  <si>
    <t>35.6</t>
  </si>
  <si>
    <t>noite: periodos de agitação, sem nc</t>
  </si>
  <si>
    <t xml:space="preserve">MANTEM  SEDAÇAO   HIPTENSO </t>
  </si>
  <si>
    <t>HP ENERGI</t>
  </si>
  <si>
    <t>INICIAR  DIETA</t>
  </si>
  <si>
    <t>10  --12</t>
  </si>
  <si>
    <t>55ML/H</t>
  </si>
  <si>
    <t>41  51</t>
  </si>
  <si>
    <t>OBS: 1,73 ALTURA</t>
  </si>
  <si>
    <t>DESLIGADO MIDAZOLAM + FENTANIL INICIADO COM PRECEDEX PACIENTE BASTANTE AGITADO INICIADO INICADO COM MEDIADAS PARA DESPERTA PATOLOGICO,INSERIDO NA CROSS PARA CAT.+ AVALIAÇÃO DA CARDILOGIA. OBS: FALTA ENCAMINHAR PEDIDO DE ECOCARDIOGRAMA</t>
  </si>
  <si>
    <t>TC CRANIO</t>
  </si>
  <si>
    <t>https://mobilemed-prod.s3.amazonaws.com/producao/exame/laudo_signed/1765932638107-hkkFNA3O_AzHBZYofSNvjY~pjHSqwQ.pdf</t>
  </si>
  <si>
    <t>TC TORAX</t>
  </si>
  <si>
    <t>https://mobilemed-prod.s3.amazonaws.com/producao/exame/laudo_signed/1765931589896-IrZmAJN7sdxNyEMhml8BR5YLW5q0mr.pdf</t>
  </si>
  <si>
    <t>INICIADO  ATB POR  FEBRE  ,  TOSSE  SECRETIVA PURULENTA  ABUNDANTE</t>
  </si>
  <si>
    <t>CLINDAMICINA</t>
  </si>
  <si>
    <t>VJIE</t>
  </si>
  <si>
    <t>N°8.5</t>
  </si>
  <si>
    <t>N°18</t>
  </si>
  <si>
    <t xml:space="preserve">INSERIR NA CROSS PARA CAT/ PEDIR ECOCARDIOGRAMA </t>
  </si>
  <si>
    <t>Hb 12,0 | Ht 37,3% | Leuco 13.660 (Miel 0% / Metam 0% / Bast 0% / Seg 89,8% / Eos 0,9% / Linf 7,4% / Mon 1,9%) | Plaq 312.000 | Ur 29,6 | Cr 0,7 | Na 139 | K 3,5 | Ca 1,21 | Mg 1,40 | PCR 65,2 | TP Ativ 87,8% (RNI 1,09 / T 13,4s) | TTPa 28s (rel 0,88) | Gas: pH 7,39 / pCO2 42,6 / pO2 61,7 / HCO3 25,3 / BE 0,3 / SO₂ 91,5% | Trop &lt;0,1 | CPK 324,0 | CKMB 26,0</t>
  </si>
  <si>
    <t>VANESSA APARECIDA RODRIGUES DOS SANTOS</t>
  </si>
  <si>
    <r>
      <t xml:space="preserve">ALERGIAS </t>
    </r>
    <r>
      <rPr>
        <rFont val="Arial"/>
        <b/>
        <color theme="1"/>
        <sz val="8.0"/>
      </rPr>
      <t>(anotar quando tiver)</t>
    </r>
  </si>
  <si>
    <t>BENZETACIL</t>
  </si>
  <si>
    <t xml:space="preserve">1-CHOQUE  SEPTICO 
   &gt;&gt; PNEUMONIA
   &gt;&gt; TUBERCULOSE PULMONAR 
2-DERRAME PLEURAL  
3-PEDICULOSE
4-POS PCR 1 CICLO </t>
  </si>
  <si>
    <t>PACIENTE ADMITIDA NA  UPA ROSOLEM E,  10/12 COM  TOSSE PRODUTIVA  DISPNEIA E QUEDA DE ESTADO GERAL , INCIADO TRATAMENTO POR PNEUMONIA E INVESTIGAÇAO DE TB,  EVOLUI COM PIORA  CLINICA  EM  12/12/25 HIPOXIA E PARADA CARDIACA REVERTIDA  EM  1 CICLO,  PRECISANDO  DE IOT E DVAS.</t>
  </si>
  <si>
    <t xml:space="preserve"> ETILISMO, YABAGISMO, DEPENDENCIA QUIMICA  (CRACK)/ </t>
  </si>
  <si>
    <t xml:space="preserve">SEM INFORMAÇÃO </t>
  </si>
  <si>
    <t xml:space="preserve">MANTER  SEDAÇAO  E  BLOQUEO  24  H </t>
  </si>
  <si>
    <t xml:space="preserve">PACIENTE  GRAVE INSTAVEL </t>
  </si>
  <si>
    <t>FENTANIL X2:</t>
  </si>
  <si>
    <t xml:space="preserve">15 ML/H </t>
  </si>
  <si>
    <t>(SÓ DADOS ALTERADOS)</t>
  </si>
  <si>
    <r>
      <rPr>
        <rFont val="Arial"/>
        <color theme="1"/>
        <sz val="7.0"/>
      </rPr>
      <t xml:space="preserve">PAM / </t>
    </r>
    <r>
      <rPr>
        <rFont val="Arial"/>
        <color theme="1"/>
        <sz val="7.0"/>
      </rPr>
      <t>MMNHG</t>
    </r>
  </si>
  <si>
    <t>TENTAR  DESMAME  DVAS</t>
  </si>
  <si>
    <t>NORADRENALINA 8X</t>
  </si>
  <si>
    <t>NOVO  CONTROLE  RX  07;00H  PNEUMOTORAX TRABECULADO ??GASO</t>
  </si>
  <si>
    <t xml:space="preserve">DEPENDIENTE  DE  DVAS E VM PARAMETROS  ALTS </t>
  </si>
  <si>
    <t>Retiro flextube.</t>
  </si>
  <si>
    <t>SECREÇÃO</t>
  </si>
  <si>
    <t>10 - 12</t>
  </si>
  <si>
    <t>***</t>
  </si>
  <si>
    <t>41 - 51</t>
  </si>
  <si>
    <t>OBS: 1,62 ALTURA</t>
  </si>
  <si>
    <t>&gt;41</t>
  </si>
  <si>
    <t>REPOR  CALCIO/ MEDIDA PARA  HIPERCALEMIA</t>
  </si>
  <si>
    <t>17/12 RECEBEU 1 CH / TROCA DE CVD POR OBSTRUÇÃO / TROCA DE CNE POR NÃO ALOCAÇÃO</t>
  </si>
  <si>
    <t>TC</t>
  </si>
  <si>
    <t>https://mobilemed-prod.s3.amazonaws.com/producao/exame/laudo_signed/1765935468548-aKdDp6iT9z6wp8oWl54XdX6JS6Xyd~.pdf</t>
  </si>
  <si>
    <t>RX TORAX</t>
  </si>
  <si>
    <t>pneumotorax  trabeculado?</t>
  </si>
  <si>
    <t xml:space="preserve">PERMETRINA TOPICO  PARA PEDICULOSE  AOIS  12 ENTRAR COM  IVERMECTINA                                                                      </t>
  </si>
  <si>
    <t>CLARITROMICINA</t>
  </si>
  <si>
    <t xml:space="preserve">CVC VSE </t>
  </si>
  <si>
    <t>RIPE</t>
  </si>
  <si>
    <t xml:space="preserve">CVD </t>
  </si>
  <si>
    <t>IVERMECTINA</t>
  </si>
  <si>
    <t>SACRAL/</t>
  </si>
  <si>
    <t xml:space="preserve">PEDIR SOROLOGIA PARA HIV / INSERIR NA CROSS PARA TORÁCICA </t>
  </si>
  <si>
    <t>LPP SACRAL EST.II</t>
  </si>
  <si>
    <t>CURATIVO: REALIZADO COM HIDROGEL EM LPP SACRAL E PAVILHÃO AURICULAR DIREITA</t>
  </si>
  <si>
    <t>Hb 9,0 | Ht 32,7% | Leuco 7.190 (Miel 0% / Metam 0% / Bast 0% / Seg 94,2% / Eos 0,5% / Linf 3,7% / Mon 1,6%) | Plaq 91.000 | Ur 114,6 | Cr 2,2 | Na 151 | K 4,9 | Ca 1,41 | Mg 1,68 | PCR 67,9 | TP Ativ 92,9% (RNI 1,05 / T 13,0s) | TTPa 33s (rel 1,03) | Gas: pH 7,07 / pCO2 78,3 / pO2 69,2 / HCO3 22,0 / BE -8,2 / SO₂ 84,9%</t>
  </si>
  <si>
    <r>
      <t xml:space="preserve">ALERGIAS </t>
    </r>
    <r>
      <rPr>
        <rFont val="Arial"/>
        <b/>
        <color theme="1"/>
        <sz val="8.0"/>
      </rPr>
      <t>(anotar quando tiver)</t>
    </r>
  </si>
  <si>
    <r>
      <rPr>
        <rFont val="Arial"/>
        <color theme="1"/>
        <sz val="7.0"/>
      </rPr>
      <t xml:space="preserve">PAM / </t>
    </r>
    <r>
      <rPr>
        <rFont val="Arial"/>
        <color theme="1"/>
        <sz val="7.0"/>
      </rPr>
      <t>MMNHG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</si>
</sst>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m/d/yyyy h:mm:ss"/>
    <numFmt numFmtId="165" formatCode="dd&quot;/&quot;mm&quot; &quot;hh&quot;:&quot;mm"/>
    <numFmt numFmtId="166" formatCode="d/m/yyyy"/>
    <numFmt numFmtId="167" formatCode="d/m/yy"/>
    <numFmt numFmtId="168" formatCode="d/m"/>
    <numFmt numFmtId="169" formatCode="dd&quot;/&quot;mm&quot;/&quot;yy"/>
    <numFmt numFmtId="170" formatCode="dd/MM/yyyy"/>
    <numFmt numFmtId="171" formatCode="dd/mm"/>
    <numFmt numFmtId="172" formatCode="hh:mm"/>
    <numFmt numFmtId="173" formatCode="dd/mm/yy"/>
    <numFmt numFmtId="174" formatCode="dd/mm/yyyy"/>
    <numFmt numFmtId="175" formatCode="d.m"/>
    <numFmt numFmtId="176" formatCode="dd.mm"/>
  </numFmts>
  <fonts count="27">
    <font>
      <sz val="10.0"/>
      <color rgb="FF000000"/>
      <name val="Arial"/>
      <scheme val="minor"/>
    </font>
    <font>
      <b/>
      <sz val="15.0"/>
      <color theme="1"/>
      <name val="Arial"/>
      <scheme val="minor"/>
    </font>
    <font/>
    <font>
      <b/>
      <sz val="12.0"/>
      <color theme="1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sz val="8.0"/>
      <color theme="1"/>
      <name val="Arial"/>
      <scheme val="minor"/>
    </font>
    <font>
      <sz val="10.0"/>
      <color theme="1"/>
      <name val="Arial"/>
      <scheme val="minor"/>
    </font>
    <font>
      <b/>
      <sz val="8.0"/>
      <color theme="1"/>
      <name val="Arial"/>
      <scheme val="minor"/>
    </font>
    <font>
      <sz val="12.0"/>
      <color theme="1"/>
      <name val="Arial"/>
      <scheme val="minor"/>
    </font>
    <font>
      <sz val="8.0"/>
      <color theme="1"/>
      <name val="Arial"/>
    </font>
    <font>
      <b/>
      <sz val="7.0"/>
      <color theme="1"/>
      <name val="Arial"/>
      <scheme val="minor"/>
    </font>
    <font>
      <b/>
      <sz val="8.0"/>
      <color theme="1"/>
      <name val="&quot;Calibri&quot;"/>
    </font>
    <font>
      <sz val="7.0"/>
      <color theme="1"/>
      <name val="Arial"/>
      <scheme val="minor"/>
    </font>
    <font>
      <color theme="1"/>
      <name val="Arial"/>
      <scheme val="minor"/>
    </font>
    <font>
      <sz val="8.0"/>
      <color rgb="FF000000"/>
      <name val="Arial"/>
      <scheme val="minor"/>
    </font>
    <font>
      <b/>
      <sz val="8.0"/>
      <color theme="1"/>
      <name val="Arial"/>
    </font>
    <font>
      <b/>
      <color theme="1"/>
      <name val="Arial"/>
      <scheme val="minor"/>
    </font>
    <font>
      <b/>
      <sz val="9.0"/>
      <color theme="1"/>
      <name val="Arial"/>
    </font>
    <font>
      <sz val="9.0"/>
      <color theme="1"/>
      <name val="Arial"/>
    </font>
    <font>
      <sz val="8.0"/>
      <color rgb="FFFFFFFF"/>
      <name val="Arial"/>
      <scheme val="minor"/>
    </font>
    <font>
      <color theme="1"/>
      <name val="Arial"/>
    </font>
    <font>
      <b/>
      <color theme="1"/>
      <name val="Arial"/>
    </font>
    <font>
      <u/>
      <sz val="8.0"/>
      <color rgb="FF0000FF"/>
    </font>
    <font>
      <u/>
      <sz val="8.0"/>
      <color rgb="FF0000FF"/>
    </font>
    <font>
      <b/>
      <sz val="10.0"/>
      <color theme="1"/>
      <name val="Arial"/>
      <scheme val="minor"/>
    </font>
    <font>
      <b/>
      <sz val="8.0"/>
      <color rgb="FF000000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000000"/>
        <bgColor rgb="FF000000"/>
      </patternFill>
    </fill>
    <fill>
      <patternFill patternType="solid">
        <fgColor rgb="FFF4C7C3"/>
        <bgColor rgb="FFF4C7C3"/>
      </patternFill>
    </fill>
  </fills>
  <borders count="8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right style="dotted">
        <color rgb="FF000000"/>
      </right>
      <top style="thick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thick">
        <color rgb="FF000000"/>
      </top>
      <bottom style="dotted">
        <color rgb="FF000000"/>
      </bottom>
    </border>
    <border>
      <left style="dotted">
        <color rgb="FF000000"/>
      </left>
      <top style="thick">
        <color rgb="FF000000"/>
      </top>
      <bottom style="dotted">
        <color rgb="FF000000"/>
      </bottom>
    </border>
    <border>
      <top style="thick">
        <color rgb="FF000000"/>
      </top>
      <bottom style="dotted">
        <color rgb="FF000000"/>
      </bottom>
    </border>
    <border>
      <right style="dotted">
        <color rgb="FF000000"/>
      </right>
      <top style="thick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thick">
        <color rgb="FF000000"/>
      </top>
    </border>
    <border>
      <left style="dotted">
        <color rgb="FF000000"/>
      </left>
      <top style="thick">
        <color rgb="FF000000"/>
      </top>
    </border>
    <border>
      <top style="thick">
        <color rgb="FF000000"/>
      </top>
    </border>
    <border>
      <right style="dotted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dotted">
        <color rgb="FF000000"/>
      </bottom>
    </border>
    <border>
      <left style="thick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thick">
        <color rgb="FF000000"/>
      </left>
      <right style="thick">
        <color rgb="FF000000"/>
      </right>
      <top style="dotted">
        <color rgb="FF000000"/>
      </top>
    </border>
    <border>
      <top style="dotted">
        <color rgb="FF000000"/>
      </top>
      <bottom style="dotted">
        <color rgb="FF000000"/>
      </bottom>
    </border>
    <border>
      <left style="thick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dotted">
        <color rgb="FF000000"/>
      </left>
      <right style="thick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right style="thick">
        <color rgb="FF000000"/>
      </right>
      <bottom style="dotted">
        <color rgb="FF000000"/>
      </bottom>
    </border>
    <border>
      <left style="thick">
        <color rgb="FF000000"/>
      </left>
      <bottom style="dotted">
        <color rgb="FF000000"/>
      </bottom>
    </border>
    <border>
      <right style="thick">
        <color rgb="FF000000"/>
      </right>
      <top style="dotted">
        <color rgb="FF000000"/>
      </top>
    </border>
    <border>
      <left style="thick">
        <color rgb="FF000000"/>
      </left>
      <right style="dotted">
        <color rgb="FF000000"/>
      </right>
      <bottom style="dotted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dotted">
        <color rgb="FF000000"/>
      </top>
    </border>
    <border>
      <left style="thick">
        <color rgb="FF000000"/>
      </left>
      <right style="thick">
        <color rgb="FF000000"/>
      </right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thick">
        <color rgb="FF000000"/>
      </left>
      <top style="thick">
        <color rgb="FF000000"/>
      </top>
      <bottom style="dotted">
        <color rgb="FF000000"/>
      </bottom>
    </border>
    <border>
      <right style="thick">
        <color rgb="FF000000"/>
      </right>
      <top style="thick">
        <color rgb="FF000000"/>
      </top>
      <bottom style="dotted">
        <color rgb="FF000000"/>
      </bottom>
    </border>
    <border>
      <left style="thick">
        <color rgb="FF000000"/>
      </left>
      <top style="dotted">
        <color rgb="FF000000"/>
      </top>
      <bottom style="dotted">
        <color rgb="FF000000"/>
      </bottom>
    </border>
    <border>
      <right style="thick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ck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ck">
        <color rgb="FF000000"/>
      </right>
      <top style="dotted">
        <color rgb="FF000000"/>
      </top>
    </border>
    <border>
      <left style="dotted">
        <color rgb="FF000000"/>
      </left>
      <right style="thick">
        <color rgb="FF000000"/>
      </right>
      <bottom style="dotted">
        <color rgb="FF000000"/>
      </bottom>
    </border>
    <border>
      <left style="thick">
        <color rgb="FF000000"/>
      </left>
      <right style="dotted">
        <color rgb="FF000000"/>
      </right>
      <top style="dotted">
        <color rgb="FF000000"/>
      </top>
      <bottom style="thick">
        <color rgb="FF000000"/>
      </bottom>
    </border>
    <border>
      <left style="dotted">
        <color rgb="FF000000"/>
      </left>
      <right style="thick">
        <color rgb="FF000000"/>
      </right>
      <top style="dotted">
        <color rgb="FF000000"/>
      </top>
      <bottom style="thick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ck">
        <color rgb="FF000000"/>
      </bottom>
    </border>
    <border>
      <left style="thick">
        <color rgb="FF000000"/>
      </left>
      <top style="dotted">
        <color rgb="FF000000"/>
      </top>
      <bottom style="thick">
        <color rgb="FF000000"/>
      </bottom>
    </border>
    <border>
      <right style="dotted">
        <color rgb="FF000000"/>
      </right>
      <top style="dotted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dotted">
        <color rgb="FF000000"/>
      </left>
    </border>
    <border>
      <right style="dotted">
        <color rgb="FF000000"/>
      </right>
    </border>
    <border>
      <left style="dotted">
        <color rgb="FF000000"/>
      </left>
      <top style="dotted">
        <color rgb="FF000000"/>
      </top>
      <bottom style="thick">
        <color rgb="FF000000"/>
      </bottom>
    </border>
    <border>
      <top style="dotted">
        <color rgb="FF000000"/>
      </top>
      <bottom style="thick">
        <color rgb="FF000000"/>
      </bottom>
    </border>
    <border>
      <right style="thick">
        <color rgb="FF000000"/>
      </right>
      <top style="dotted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hair">
        <color rgb="FF000000"/>
      </bottom>
    </border>
    <border>
      <top style="thick">
        <color rgb="FF000000"/>
      </top>
      <bottom style="hair">
        <color rgb="FF000000"/>
      </bottom>
    </border>
    <border>
      <right style="thick">
        <color rgb="FF000000"/>
      </right>
      <top style="thick">
        <color rgb="FF000000"/>
      </top>
      <bottom style="hair">
        <color rgb="FF000000"/>
      </bottom>
    </border>
    <border>
      <left style="thick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bottom style="thick">
        <color rgb="FF000000"/>
      </bottom>
    </border>
    <border>
      <bottom style="thick">
        <color rgb="FF000000"/>
      </bottom>
    </border>
    <border>
      <right style="dotted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dotted">
        <color rgb="FF000000"/>
      </left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4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readingOrder="0" vertical="center"/>
    </xf>
    <xf borderId="1" fillId="2" fontId="3" numFmtId="164" xfId="0" applyAlignment="1" applyBorder="1" applyFont="1" applyNumberFormat="1">
      <alignment horizontal="center" readingOrder="0" vertical="center"/>
    </xf>
    <xf borderId="4" fillId="2" fontId="4" numFmtId="0" xfId="0" applyAlignment="1" applyBorder="1" applyFont="1">
      <alignment horizontal="center" readingOrder="0"/>
    </xf>
    <xf borderId="4" fillId="2" fontId="4" numFmtId="0" xfId="0" applyAlignment="1" applyBorder="1" applyFont="1">
      <alignment horizontal="center" readingOrder="0" shrinkToFit="0" wrapText="1"/>
    </xf>
    <xf borderId="4" fillId="2" fontId="4" numFmtId="0" xfId="0" applyAlignment="1" applyBorder="1" applyFont="1">
      <alignment horizontal="center"/>
    </xf>
    <xf borderId="1" fillId="2" fontId="4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readingOrder="0" shrinkToFit="0" wrapText="1"/>
    </xf>
    <xf borderId="5" fillId="3" fontId="5" numFmtId="0" xfId="0" applyAlignment="1" applyBorder="1" applyFill="1" applyFont="1">
      <alignment horizontal="center" readingOrder="0"/>
    </xf>
    <xf borderId="5" fillId="3" fontId="5" numFmtId="0" xfId="0" applyAlignment="1" applyBorder="1" applyFont="1">
      <alignment horizontal="center" shrinkToFit="0" wrapText="1"/>
    </xf>
    <xf borderId="4" fillId="3" fontId="5" numFmtId="0" xfId="0" applyAlignment="1" applyBorder="1" applyFont="1">
      <alignment horizontal="center"/>
    </xf>
    <xf borderId="5" fillId="3" fontId="5" numFmtId="0" xfId="0" applyAlignment="1" applyBorder="1" applyFont="1">
      <alignment horizontal="center"/>
    </xf>
    <xf borderId="6" fillId="3" fontId="5" numFmtId="0" xfId="0" applyAlignment="1" applyBorder="1" applyFont="1">
      <alignment horizontal="center"/>
    </xf>
    <xf borderId="7" fillId="0" fontId="2" numFmtId="0" xfId="0" applyBorder="1" applyFont="1"/>
    <xf borderId="6" fillId="3" fontId="5" numFmtId="0" xfId="0" applyAlignment="1" applyBorder="1" applyFont="1">
      <alignment horizontal="center" shrinkToFit="0" wrapText="1"/>
    </xf>
    <xf borderId="8" fillId="0" fontId="2" numFmtId="0" xfId="0" applyBorder="1" applyFont="1"/>
    <xf borderId="5" fillId="3" fontId="5" numFmtId="165" xfId="0" applyAlignment="1" applyBorder="1" applyFont="1" applyNumberForma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5" fillId="3" fontId="5" numFmtId="165" xfId="0" applyAlignment="1" applyBorder="1" applyFont="1" applyNumberFormat="1">
      <alignment horizontal="center"/>
    </xf>
    <xf borderId="5" fillId="3" fontId="5" numFmtId="166" xfId="0" applyAlignment="1" applyBorder="1" applyFont="1" applyNumberFormat="1">
      <alignment horizontal="center"/>
    </xf>
    <xf borderId="5" fillId="3" fontId="5" numFmtId="167" xfId="0" applyAlignment="1" applyBorder="1" applyFont="1" applyNumberFormat="1">
      <alignment horizontal="center"/>
    </xf>
    <xf borderId="6" fillId="3" fontId="6" numFmtId="0" xfId="0" applyAlignment="1" applyBorder="1" applyFont="1">
      <alignment horizontal="center"/>
    </xf>
    <xf borderId="5" fillId="3" fontId="5" numFmtId="0" xfId="0" applyAlignment="1" applyBorder="1" applyFont="1">
      <alignment horizontal="center" readingOrder="0" shrinkToFit="0" wrapText="1"/>
    </xf>
    <xf borderId="6" fillId="3" fontId="5" numFmtId="0" xfId="0" applyAlignment="1" applyBorder="1" applyFont="1">
      <alignment horizontal="center" readingOrder="0"/>
    </xf>
    <xf borderId="5" fillId="3" fontId="5" numFmtId="3" xfId="0" applyAlignment="1" applyBorder="1" applyFont="1" applyNumberFormat="1">
      <alignment horizontal="center" readingOrder="0"/>
    </xf>
    <xf borderId="5" fillId="3" fontId="5" numFmtId="167" xfId="0" applyAlignment="1" applyBorder="1" applyFont="1" applyNumberFormat="1">
      <alignment horizontal="center" readingOrder="0"/>
    </xf>
    <xf borderId="5" fillId="3" fontId="7" numFmtId="0" xfId="0" applyAlignment="1" applyBorder="1" applyFont="1">
      <alignment horizontal="center" readingOrder="0"/>
    </xf>
    <xf borderId="4" fillId="3" fontId="5" numFmtId="0" xfId="0" applyAlignment="1" applyBorder="1" applyFont="1">
      <alignment horizontal="center" readingOrder="0"/>
    </xf>
    <xf borderId="4" fillId="3" fontId="5" numFmtId="0" xfId="0" applyAlignment="1" applyBorder="1" applyFont="1">
      <alignment horizontal="center" shrinkToFit="0" wrapText="1"/>
    </xf>
    <xf borderId="1" fillId="3" fontId="5" numFmtId="0" xfId="0" applyAlignment="1" applyBorder="1" applyFont="1">
      <alignment horizontal="center"/>
    </xf>
    <xf borderId="1" fillId="3" fontId="5" numFmtId="0" xfId="0" applyAlignment="1" applyBorder="1" applyFont="1">
      <alignment horizontal="center" shrinkToFit="0" wrapText="1"/>
    </xf>
    <xf borderId="4" fillId="3" fontId="5" numFmtId="168" xfId="0" applyAlignment="1" applyBorder="1" applyFont="1" applyNumberFormat="1">
      <alignment horizontal="center"/>
    </xf>
    <xf borderId="0" fillId="0" fontId="5" numFmtId="0" xfId="0" applyFont="1"/>
    <xf borderId="0" fillId="0" fontId="5" numFmtId="0" xfId="0" applyAlignment="1" applyFont="1">
      <alignment shrinkToFit="0" wrapText="1"/>
    </xf>
    <xf borderId="16" fillId="2" fontId="4" numFmtId="0" xfId="0" applyAlignment="1" applyBorder="1" applyFont="1">
      <alignment horizontal="center" readingOrder="0" shrinkToFit="0" vertical="center" wrapText="1"/>
    </xf>
    <xf borderId="17" fillId="3" fontId="5" numFmtId="0" xfId="0" applyAlignment="1" applyBorder="1" applyFont="1">
      <alignment horizontal="center" readingOrder="0" shrinkToFit="0" vertical="center" wrapText="1"/>
    </xf>
    <xf borderId="17" fillId="2" fontId="4" numFmtId="0" xfId="0" applyAlignment="1" applyBorder="1" applyFont="1">
      <alignment horizontal="center" readingOrder="0" shrinkToFit="0" vertical="center" wrapText="1"/>
    </xf>
    <xf borderId="18" fillId="3" fontId="4" numFmtId="0" xfId="0" applyAlignment="1" applyBorder="1" applyFont="1">
      <alignment horizontal="left" readingOrder="0" shrinkToFit="0" vertical="center" wrapText="1"/>
    </xf>
    <xf borderId="19" fillId="0" fontId="2" numFmtId="0" xfId="0" applyBorder="1" applyFont="1"/>
    <xf borderId="20" fillId="0" fontId="2" numFmtId="0" xfId="0" applyBorder="1" applyFont="1"/>
    <xf borderId="17" fillId="2" fontId="5" numFmtId="0" xfId="0" applyAlignment="1" applyBorder="1" applyFont="1">
      <alignment horizontal="center" readingOrder="0"/>
    </xf>
    <xf borderId="17" fillId="3" fontId="5" numFmtId="0" xfId="0" applyAlignment="1" applyBorder="1" applyFont="1">
      <alignment horizontal="center" readingOrder="0"/>
    </xf>
    <xf borderId="21" fillId="2" fontId="4" numFmtId="0" xfId="0" applyAlignment="1" applyBorder="1" applyFont="1">
      <alignment horizontal="center" readingOrder="0" shrinkToFit="0" vertical="center" wrapText="1"/>
    </xf>
    <xf borderId="21" fillId="3" fontId="5" numFmtId="0" xfId="0" applyAlignment="1" applyBorder="1" applyFont="1">
      <alignment horizontal="center" readingOrder="0" shrinkToFit="0" vertical="center" wrapText="1"/>
    </xf>
    <xf borderId="21" fillId="4" fontId="4" numFmtId="0" xfId="0" applyAlignment="1" applyBorder="1" applyFill="1" applyFont="1">
      <alignment horizontal="center" readingOrder="0" shrinkToFit="0" vertical="center" wrapText="1"/>
    </xf>
    <xf borderId="22" fillId="5" fontId="5" numFmtId="0" xfId="0" applyAlignment="1" applyBorder="1" applyFill="1" applyFont="1">
      <alignment horizontal="left" readingOrder="0" shrinkToFit="0" vertical="center" wrapText="1"/>
    </xf>
    <xf borderId="23" fillId="0" fontId="2" numFmtId="0" xfId="0" applyBorder="1" applyFont="1"/>
    <xf borderId="24" fillId="0" fontId="2" numFmtId="0" xfId="0" applyBorder="1" applyFont="1"/>
    <xf borderId="25" fillId="2" fontId="8" numFmtId="0" xfId="0" applyAlignment="1" applyBorder="1" applyFont="1">
      <alignment horizontal="center" readingOrder="0" shrinkToFit="0" vertical="center" wrapText="1"/>
    </xf>
    <xf borderId="26" fillId="2" fontId="4" numFmtId="0" xfId="0" applyAlignment="1" applyBorder="1" applyFont="1">
      <alignment horizontal="center" readingOrder="0" shrinkToFit="0" vertical="center" wrapText="1"/>
    </xf>
    <xf borderId="27" fillId="3" fontId="5" numFmtId="169" xfId="0" applyAlignment="1" applyBorder="1" applyFont="1" applyNumberFormat="1">
      <alignment horizontal="center" readingOrder="0" shrinkToFit="0" vertical="center" wrapText="1"/>
    </xf>
    <xf borderId="27" fillId="2" fontId="4" numFmtId="0" xfId="0" applyAlignment="1" applyBorder="1" applyFont="1">
      <alignment horizontal="center" readingOrder="0" shrinkToFit="0" vertical="center" wrapText="1"/>
    </xf>
    <xf borderId="27" fillId="3" fontId="5" numFmtId="165" xfId="0" applyAlignment="1" applyBorder="1" applyFont="1" applyNumberFormat="1">
      <alignment horizontal="center" readingOrder="0" shrinkToFit="0" vertical="center" wrapText="1"/>
    </xf>
    <xf borderId="27" fillId="6" fontId="4" numFmtId="0" xfId="0" applyAlignment="1" applyBorder="1" applyFill="1" applyFont="1">
      <alignment horizontal="center" readingOrder="0" shrinkToFit="0" vertical="center" wrapText="1"/>
    </xf>
    <xf borderId="27" fillId="5" fontId="5" numFmtId="0" xfId="0" applyAlignment="1" applyBorder="1" applyFont="1">
      <alignment horizontal="center" readingOrder="0" shrinkToFit="0" vertical="center" wrapText="1"/>
    </xf>
    <xf borderId="27" fillId="4" fontId="4" numFmtId="0" xfId="0" applyAlignment="1" applyBorder="1" applyFont="1">
      <alignment horizontal="center" readingOrder="0" shrinkToFit="0" wrapText="1"/>
    </xf>
    <xf borderId="28" fillId="5" fontId="5" numFmtId="165" xfId="0" applyAlignment="1" applyBorder="1" applyFont="1" applyNumberFormat="1">
      <alignment horizontal="center" readingOrder="0" shrinkToFit="0" vertical="center" wrapText="1"/>
    </xf>
    <xf borderId="29" fillId="0" fontId="2" numFmtId="0" xfId="0" applyBorder="1" applyFont="1"/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33" fillId="0" fontId="2" numFmtId="0" xfId="0" applyBorder="1" applyFont="1"/>
    <xf borderId="34" fillId="3" fontId="3" numFmtId="0" xfId="0" applyAlignment="1" applyBorder="1" applyFont="1">
      <alignment horizontal="center" readingOrder="0" shrinkToFit="0" vertical="center" wrapText="1"/>
    </xf>
    <xf borderId="26" fillId="4" fontId="4" numFmtId="0" xfId="0" applyAlignment="1" applyBorder="1" applyFont="1">
      <alignment horizontal="center" readingOrder="0" shrinkToFit="0" vertical="center" wrapText="1"/>
    </xf>
    <xf borderId="28" fillId="5" fontId="5" numFmtId="0" xfId="0" applyAlignment="1" applyBorder="1" applyFont="1">
      <alignment horizontal="left" readingOrder="0" shrinkToFit="0" vertical="center" wrapText="1"/>
    </xf>
    <xf borderId="35" fillId="0" fontId="2" numFmtId="0" xfId="0" applyBorder="1" applyFont="1"/>
    <xf borderId="25" fillId="2" fontId="4" numFmtId="0" xfId="0" applyAlignment="1" applyBorder="1" applyFont="1">
      <alignment horizontal="center" readingOrder="0" shrinkToFit="0" vertical="center" wrapText="1"/>
    </xf>
    <xf borderId="34" fillId="3" fontId="9" numFmtId="170" xfId="0" applyAlignment="1" applyBorder="1" applyFont="1" applyNumberFormat="1">
      <alignment horizontal="center" readingOrder="0" shrinkToFit="0" vertical="center" wrapText="1"/>
    </xf>
    <xf borderId="36" fillId="4" fontId="4" numFmtId="0" xfId="0" applyAlignment="1" applyBorder="1" applyFont="1">
      <alignment horizontal="center" readingOrder="0" shrinkToFit="0" vertical="center" wrapText="1"/>
    </xf>
    <xf borderId="37" fillId="5" fontId="5" numFmtId="0" xfId="0" applyAlignment="1" applyBorder="1" applyFont="1">
      <alignment horizontal="left" readingOrder="0" shrinkToFit="0" vertical="center" wrapText="1"/>
    </xf>
    <xf borderId="38" fillId="0" fontId="2" numFmtId="0" xfId="0" applyBorder="1" applyFont="1"/>
    <xf borderId="39" fillId="0" fontId="2" numFmtId="0" xfId="0" applyBorder="1" applyFont="1"/>
    <xf borderId="40" fillId="0" fontId="2" numFmtId="0" xfId="0" applyBorder="1" applyFont="1"/>
    <xf borderId="41" fillId="4" fontId="8" numFmtId="0" xfId="0" applyAlignment="1" applyBorder="1" applyFont="1">
      <alignment horizontal="center" readingOrder="0" shrinkToFit="0" vertical="center" wrapText="1"/>
    </xf>
    <xf borderId="42" fillId="0" fontId="2" numFmtId="0" xfId="0" applyBorder="1" applyFont="1"/>
    <xf borderId="43" fillId="0" fontId="2" numFmtId="0" xfId="0" applyBorder="1" applyFont="1"/>
    <xf borderId="23" fillId="2" fontId="8" numFmtId="0" xfId="0" applyAlignment="1" applyBorder="1" applyFont="1">
      <alignment horizontal="center" readingOrder="0" shrinkToFit="0" vertical="center" wrapText="1"/>
    </xf>
    <xf borderId="44" fillId="2" fontId="8" numFmtId="0" xfId="0" applyAlignment="1" applyBorder="1" applyFont="1">
      <alignment horizontal="center" readingOrder="0" shrinkToFit="0" vertical="center" wrapText="1"/>
    </xf>
    <xf borderId="45" fillId="5" fontId="6" numFmtId="0" xfId="0" applyAlignment="1" applyBorder="1" applyFont="1">
      <alignment horizontal="center" readingOrder="0" shrinkToFit="0" vertical="center" wrapText="1"/>
    </xf>
    <xf borderId="46" fillId="0" fontId="2" numFmtId="0" xfId="0" applyBorder="1" applyFont="1"/>
    <xf borderId="32" fillId="5" fontId="6" numFmtId="0" xfId="0" applyAlignment="1" applyBorder="1" applyFont="1">
      <alignment horizontal="center" readingOrder="0" shrinkToFit="0" vertical="center" wrapText="1"/>
    </xf>
    <xf borderId="47" fillId="0" fontId="2" numFmtId="0" xfId="0" applyBorder="1" applyFont="1"/>
    <xf borderId="41" fillId="2" fontId="8" numFmtId="0" xfId="0" applyAlignment="1" applyBorder="1" applyFont="1">
      <alignment horizontal="center" readingOrder="0" shrinkToFit="0" vertical="center" wrapText="1"/>
    </xf>
    <xf borderId="43" fillId="0" fontId="2" numFmtId="0" xfId="0" applyBorder="1" applyFont="1"/>
    <xf borderId="42" fillId="0" fontId="2" numFmtId="0" xfId="0" applyBorder="1" applyFont="1"/>
    <xf borderId="48" fillId="0" fontId="2" numFmtId="0" xfId="0" applyBorder="1" applyFont="1"/>
    <xf borderId="38" fillId="5" fontId="6" numFmtId="0" xfId="0" applyAlignment="1" applyBorder="1" applyFont="1">
      <alignment horizontal="center" readingOrder="0" shrinkToFit="0" vertical="center" wrapText="1"/>
    </xf>
    <xf borderId="49" fillId="0" fontId="2" numFmtId="0" xfId="0" applyBorder="1" applyFont="1"/>
    <xf borderId="50" fillId="2" fontId="10" numFmtId="0" xfId="0" applyAlignment="1" applyBorder="1" applyFont="1">
      <alignment horizontal="center" readingOrder="0" shrinkToFit="0" vertical="center" wrapText="1"/>
    </xf>
    <xf borderId="30" fillId="2" fontId="10" numFmtId="0" xfId="0" applyAlignment="1" applyBorder="1" applyFont="1">
      <alignment horizontal="center" readingOrder="0" shrinkToFit="0" vertical="center" wrapText="1"/>
    </xf>
    <xf borderId="30" fillId="2" fontId="6" numFmtId="0" xfId="0" applyAlignment="1" applyBorder="1" applyFont="1">
      <alignment horizontal="center" readingOrder="0" shrinkToFit="0" wrapText="1"/>
    </xf>
    <xf borderId="30" fillId="5" fontId="6" numFmtId="0" xfId="0" applyAlignment="1" applyBorder="1" applyFont="1">
      <alignment horizontal="center" readingOrder="0" shrinkToFit="0" wrapText="1"/>
    </xf>
    <xf borderId="31" fillId="5" fontId="6" numFmtId="0" xfId="0" applyAlignment="1" applyBorder="1" applyFont="1">
      <alignment horizontal="center" readingOrder="0" shrinkToFit="0" wrapText="1"/>
    </xf>
    <xf borderId="51" fillId="3" fontId="8" numFmtId="0" xfId="0" applyAlignment="1" applyBorder="1" applyFont="1">
      <alignment horizontal="center" readingOrder="0" shrinkToFit="0" vertical="center" wrapText="1"/>
    </xf>
    <xf borderId="52" fillId="5" fontId="6" numFmtId="0" xfId="0" applyAlignment="1" applyBorder="1" applyFont="1">
      <alignment horizontal="center" readingOrder="0" shrinkToFit="0" vertical="center" wrapText="1"/>
    </xf>
    <xf borderId="26" fillId="3" fontId="10" numFmtId="0" xfId="0" applyAlignment="1" applyBorder="1" applyFont="1">
      <alignment horizontal="center" readingOrder="0" shrinkToFit="0" wrapText="1"/>
    </xf>
    <xf borderId="27" fillId="3" fontId="10" numFmtId="0" xfId="0" applyAlignment="1" applyBorder="1" applyFont="1">
      <alignment horizontal="center" readingOrder="0" shrinkToFit="0" wrapText="1"/>
    </xf>
    <xf borderId="27" fillId="3" fontId="10" numFmtId="168" xfId="0" applyAlignment="1" applyBorder="1" applyFont="1" applyNumberFormat="1">
      <alignment horizontal="center" readingOrder="0" shrinkToFit="0" wrapText="1"/>
    </xf>
    <xf borderId="27" fillId="3" fontId="6" numFmtId="168" xfId="0" applyAlignment="1" applyBorder="1" applyFont="1" applyNumberFormat="1">
      <alignment horizontal="center" readingOrder="0" shrinkToFit="0" wrapText="1"/>
    </xf>
    <xf borderId="27" fillId="5" fontId="6" numFmtId="0" xfId="0" applyAlignment="1" applyBorder="1" applyFont="1">
      <alignment horizontal="center" readingOrder="0" shrinkToFit="0" wrapText="1"/>
    </xf>
    <xf borderId="28" fillId="5" fontId="6" numFmtId="0" xfId="0" applyAlignment="1" applyBorder="1" applyFont="1">
      <alignment horizontal="center" readingOrder="0" shrinkToFit="0" wrapText="1"/>
    </xf>
    <xf borderId="53" fillId="0" fontId="2" numFmtId="0" xfId="0" applyBorder="1" applyFont="1"/>
    <xf borderId="45" fillId="0" fontId="2" numFmtId="0" xfId="0" applyBorder="1" applyFont="1"/>
    <xf borderId="27" fillId="3" fontId="6" numFmtId="0" xfId="0" applyAlignment="1" applyBorder="1" applyFont="1">
      <alignment horizontal="center" readingOrder="0" shrinkToFit="0" vertical="center" wrapText="1"/>
    </xf>
    <xf borderId="27" fillId="3" fontId="6" numFmtId="0" xfId="0" applyAlignment="1" applyBorder="1" applyFont="1">
      <alignment horizontal="center" readingOrder="0" shrinkToFit="0" wrapText="1"/>
    </xf>
    <xf borderId="27" fillId="3" fontId="11" numFmtId="0" xfId="0" applyAlignment="1" applyBorder="1" applyFont="1">
      <alignment horizontal="center" readingOrder="0" shrinkToFit="0" wrapText="1"/>
    </xf>
    <xf borderId="27" fillId="5" fontId="11" numFmtId="0" xfId="0" applyAlignment="1" applyBorder="1" applyFont="1">
      <alignment horizontal="center" readingOrder="0" shrinkToFit="0" wrapText="1"/>
    </xf>
    <xf borderId="28" fillId="5" fontId="6" numFmtId="0" xfId="0" applyAlignment="1" applyBorder="1" applyFont="1">
      <alignment horizontal="center" readingOrder="0" shrinkToFit="0" vertical="center" wrapText="1"/>
    </xf>
    <xf borderId="36" fillId="3" fontId="10" numFmtId="0" xfId="0" applyAlignment="1" applyBorder="1" applyFont="1">
      <alignment horizontal="center" readingOrder="0" shrinkToFit="0" wrapText="1"/>
    </xf>
    <xf borderId="54" fillId="3" fontId="6" numFmtId="0" xfId="0" applyAlignment="1" applyBorder="1" applyFont="1">
      <alignment horizontal="center" readingOrder="0" shrinkToFit="0" vertical="center" wrapText="1"/>
    </xf>
    <xf borderId="54" fillId="3" fontId="6" numFmtId="0" xfId="0" applyAlignment="1" applyBorder="1" applyFont="1">
      <alignment horizontal="center" readingOrder="0" shrinkToFit="0" wrapText="1"/>
    </xf>
    <xf borderId="54" fillId="5" fontId="6" numFmtId="0" xfId="0" applyAlignment="1" applyBorder="1" applyFont="1">
      <alignment horizontal="center" readingOrder="0" shrinkToFit="0" wrapText="1"/>
    </xf>
    <xf borderId="37" fillId="5" fontId="6" numFmtId="0" xfId="0" applyAlignment="1" applyBorder="1" applyFont="1">
      <alignment horizontal="center" readingOrder="0" shrinkToFit="0" vertical="center" wrapText="1"/>
    </xf>
    <xf borderId="55" fillId="4" fontId="8" numFmtId="0" xfId="0" applyAlignment="1" applyBorder="1" applyFont="1">
      <alignment horizontal="center" readingOrder="0" shrinkToFit="0" vertical="center" wrapText="1"/>
    </xf>
    <xf borderId="56" fillId="0" fontId="2" numFmtId="0" xfId="0" applyBorder="1" applyFont="1"/>
    <xf borderId="55" fillId="2" fontId="8" numFmtId="0" xfId="0" applyAlignment="1" applyBorder="1" applyFont="1">
      <alignment horizontal="center" readingOrder="0" shrinkToFit="0" vertical="center" wrapText="1"/>
    </xf>
    <xf borderId="57" fillId="4" fontId="12" numFmtId="0" xfId="0" applyAlignment="1" applyBorder="1" applyFont="1">
      <alignment horizontal="center" readingOrder="0" shrinkToFit="0" vertical="center" wrapText="1"/>
    </xf>
    <xf borderId="58" fillId="0" fontId="2" numFmtId="0" xfId="0" applyBorder="1" applyFont="1"/>
    <xf borderId="0" fillId="3" fontId="6" numFmtId="0" xfId="0" applyAlignment="1" applyFont="1">
      <alignment horizontal="center" readingOrder="0"/>
    </xf>
    <xf borderId="0" fillId="7" fontId="6" numFmtId="0" xfId="0" applyAlignment="1" applyFill="1" applyFont="1">
      <alignment horizontal="center" readingOrder="0"/>
    </xf>
    <xf borderId="26" fillId="2" fontId="6" numFmtId="0" xfId="0" applyAlignment="1" applyBorder="1" applyFont="1">
      <alignment horizontal="center" readingOrder="0" shrinkToFit="0" vertical="center" wrapText="1"/>
    </xf>
    <xf borderId="27" fillId="2" fontId="6" numFmtId="0" xfId="0" applyAlignment="1" applyBorder="1" applyFont="1">
      <alignment horizontal="center" readingOrder="0" shrinkToFit="0" vertical="center" wrapText="1"/>
    </xf>
    <xf borderId="59" fillId="2" fontId="6" numFmtId="0" xfId="0" applyAlignment="1" applyBorder="1" applyFont="1">
      <alignment horizontal="center" readingOrder="0" shrinkToFit="0" vertical="center" wrapText="1"/>
    </xf>
    <xf borderId="36" fillId="2" fontId="6" numFmtId="0" xfId="0" applyAlignment="1" applyBorder="1" applyFont="1">
      <alignment horizontal="center" readingOrder="0" shrinkToFit="0" vertical="center" wrapText="1"/>
    </xf>
    <xf borderId="60" fillId="3" fontId="6" numFmtId="3" xfId="0" applyAlignment="1" applyBorder="1" applyFont="1" applyNumberFormat="1">
      <alignment horizontal="center" readingOrder="0" shrinkToFit="0" vertical="center" wrapText="1"/>
    </xf>
    <xf borderId="30" fillId="5" fontId="13" numFmtId="0" xfId="0" applyAlignment="1" applyBorder="1" applyFont="1">
      <alignment horizontal="center" readingOrder="0" shrinkToFit="0" wrapText="1"/>
    </xf>
    <xf borderId="26" fillId="5" fontId="6" numFmtId="0" xfId="0" applyAlignment="1" applyBorder="1" applyFont="1">
      <alignment horizontal="center" readingOrder="0" shrinkToFit="0" vertical="center" wrapText="1"/>
    </xf>
    <xf borderId="59" fillId="5" fontId="6" numFmtId="0" xfId="0" applyAlignment="1" applyBorder="1" applyFont="1">
      <alignment horizontal="center" readingOrder="0" shrinkToFit="0" vertical="center" wrapText="1"/>
    </xf>
    <xf borderId="0" fillId="3" fontId="14" numFmtId="0" xfId="0" applyFont="1"/>
    <xf borderId="0" fillId="3" fontId="6" numFmtId="0" xfId="0" applyAlignment="1" applyFont="1">
      <alignment readingOrder="0"/>
    </xf>
    <xf borderId="26" fillId="3" fontId="6" numFmtId="0" xfId="0" applyAlignment="1" applyBorder="1" applyFont="1">
      <alignment horizontal="center" readingOrder="0" shrinkToFit="0" vertical="center" wrapText="1"/>
    </xf>
    <xf borderId="59" fillId="3" fontId="6" numFmtId="0" xfId="0" applyAlignment="1" applyBorder="1" applyFont="1">
      <alignment horizontal="center" readingOrder="0" shrinkToFit="0" vertical="center" wrapText="1"/>
    </xf>
    <xf borderId="50" fillId="0" fontId="2" numFmtId="0" xfId="0" applyBorder="1" applyFont="1"/>
    <xf borderId="61" fillId="0" fontId="2" numFmtId="0" xfId="0" applyBorder="1" applyFont="1"/>
    <xf borderId="27" fillId="3" fontId="15" numFmtId="0" xfId="0" applyAlignment="1" applyBorder="1" applyFont="1">
      <alignment horizontal="center" readingOrder="0" shrinkToFit="0" vertical="center" wrapText="1"/>
    </xf>
    <xf borderId="60" fillId="3" fontId="6" numFmtId="0" xfId="0" applyAlignment="1" applyBorder="1" applyFont="1">
      <alignment horizontal="center" readingOrder="0" shrinkToFit="0" vertical="center" wrapText="1"/>
    </xf>
    <xf borderId="27" fillId="3" fontId="6" numFmtId="167" xfId="0" applyAlignment="1" applyBorder="1" applyFont="1" applyNumberFormat="1">
      <alignment horizontal="center" readingOrder="0" shrinkToFit="0" vertical="center" wrapText="1"/>
    </xf>
    <xf borderId="62" fillId="5" fontId="6" numFmtId="0" xfId="0" applyAlignment="1" applyBorder="1" applyFont="1">
      <alignment horizontal="center" readingOrder="0" shrinkToFit="0" vertical="center" wrapText="1"/>
    </xf>
    <xf borderId="63" fillId="5" fontId="6" numFmtId="0" xfId="0" applyAlignment="1" applyBorder="1" applyFont="1">
      <alignment horizontal="center" readingOrder="0" shrinkToFit="0" vertical="center" wrapText="1"/>
    </xf>
    <xf borderId="27" fillId="3" fontId="13" numFmtId="0" xfId="0" applyAlignment="1" applyBorder="1" applyFont="1">
      <alignment horizontal="center" readingOrder="0" shrinkToFit="0" wrapText="1"/>
    </xf>
    <xf borderId="27" fillId="5" fontId="13" numFmtId="0" xfId="0" applyAlignment="1" applyBorder="1" applyFont="1">
      <alignment horizontal="center" readingOrder="0" shrinkToFit="0" wrapText="1"/>
    </xf>
    <xf borderId="60" fillId="3" fontId="6" numFmtId="4" xfId="0" applyAlignment="1" applyBorder="1" applyFont="1" applyNumberFormat="1">
      <alignment horizontal="center" readingOrder="0" shrinkToFit="0" vertical="center" wrapText="1"/>
    </xf>
    <xf borderId="27" fillId="3" fontId="6" numFmtId="0" xfId="0" applyAlignment="1" applyBorder="1" applyFont="1">
      <alignment horizontal="center" readingOrder="0"/>
    </xf>
    <xf borderId="57" fillId="2" fontId="8" numFmtId="0" xfId="0" applyAlignment="1" applyBorder="1" applyFont="1">
      <alignment horizontal="center" readingOrder="0" shrinkToFit="0" vertical="center" wrapText="1"/>
    </xf>
    <xf borderId="54" fillId="3" fontId="10" numFmtId="0" xfId="0" applyAlignment="1" applyBorder="1" applyFont="1">
      <alignment horizontal="center" readingOrder="0" shrinkToFit="0" wrapText="1"/>
    </xf>
    <xf borderId="57" fillId="3" fontId="6" numFmtId="0" xfId="0" applyAlignment="1" applyBorder="1" applyFont="1">
      <alignment horizontal="center" readingOrder="0" shrinkToFit="0" vertical="center" wrapText="1"/>
    </xf>
    <xf borderId="52" fillId="3" fontId="6" numFmtId="168" xfId="0" applyAlignment="1" applyBorder="1" applyFont="1" applyNumberFormat="1">
      <alignment horizontal="center" readingOrder="0" shrinkToFit="0" vertical="center" wrapText="1"/>
    </xf>
    <xf borderId="50" fillId="8" fontId="10" numFmtId="0" xfId="0" applyAlignment="1" applyBorder="1" applyFill="1" applyFont="1">
      <alignment horizontal="center" readingOrder="0" vertical="bottom"/>
    </xf>
    <xf borderId="30" fillId="9" fontId="10" numFmtId="0" xfId="0" applyAlignment="1" applyBorder="1" applyFill="1" applyFont="1">
      <alignment horizontal="center" readingOrder="0" vertical="bottom"/>
    </xf>
    <xf borderId="30" fillId="8" fontId="16" numFmtId="0" xfId="0" applyAlignment="1" applyBorder="1" applyFont="1">
      <alignment horizontal="center" readingOrder="0" vertical="center"/>
    </xf>
    <xf borderId="30" fillId="9" fontId="16" numFmtId="0" xfId="0" applyAlignment="1" applyBorder="1" applyFont="1">
      <alignment horizontal="center" readingOrder="0" vertical="center"/>
    </xf>
    <xf borderId="30" fillId="8" fontId="10" numFmtId="0" xfId="0" applyAlignment="1" applyBorder="1" applyFont="1">
      <alignment horizontal="center" readingOrder="0" vertical="bottom"/>
    </xf>
    <xf borderId="31" fillId="8" fontId="10" numFmtId="0" xfId="0" applyAlignment="1" applyBorder="1" applyFont="1">
      <alignment horizontal="center" readingOrder="0" vertical="bottom"/>
    </xf>
    <xf borderId="64" fillId="3" fontId="6" numFmtId="0" xfId="0" applyAlignment="1" applyBorder="1" applyFont="1">
      <alignment horizontal="center" readingOrder="0" shrinkToFit="0" vertical="center" wrapText="1"/>
    </xf>
    <xf borderId="63" fillId="3" fontId="6" numFmtId="0" xfId="0" applyAlignment="1" applyBorder="1" applyFont="1">
      <alignment horizontal="center" readingOrder="0" shrinkToFit="0" vertical="center" wrapText="1"/>
    </xf>
    <xf borderId="65" fillId="3" fontId="6" numFmtId="0" xfId="0" applyAlignment="1" applyBorder="1" applyFont="1">
      <alignment horizontal="center" readingOrder="0" shrinkToFit="0" vertical="center" wrapText="1"/>
    </xf>
    <xf borderId="66" fillId="0" fontId="2" numFmtId="0" xfId="0" applyBorder="1" applyFont="1"/>
    <xf borderId="67" fillId="0" fontId="2" numFmtId="0" xfId="0" applyBorder="1" applyFont="1"/>
    <xf borderId="68" fillId="0" fontId="2" numFmtId="0" xfId="0" applyBorder="1" applyFont="1"/>
    <xf borderId="26" fillId="8" fontId="6" numFmtId="0" xfId="0" applyAlignment="1" applyBorder="1" applyFont="1">
      <alignment horizontal="center" readingOrder="0" shrinkToFit="0" wrapText="1"/>
    </xf>
    <xf borderId="27" fillId="9" fontId="6" numFmtId="0" xfId="0" applyAlignment="1" applyBorder="1" applyFont="1">
      <alignment horizontal="center" readingOrder="0" shrinkToFit="0" wrapText="1"/>
    </xf>
    <xf borderId="27" fillId="8" fontId="6" numFmtId="0" xfId="0" applyAlignment="1" applyBorder="1" applyFont="1">
      <alignment horizontal="center" readingOrder="0" shrinkToFit="0" wrapText="1"/>
    </xf>
    <xf borderId="28" fillId="9" fontId="6" numFmtId="0" xfId="0" applyAlignment="1" applyBorder="1" applyFont="1">
      <alignment horizontal="center" readingOrder="0" shrinkToFit="0" wrapText="1"/>
    </xf>
    <xf borderId="55" fillId="2" fontId="4" numFmtId="0" xfId="0" applyAlignment="1" applyBorder="1" applyFont="1">
      <alignment horizontal="center" readingOrder="0" shrinkToFit="0" vertical="center" wrapText="1"/>
    </xf>
    <xf borderId="28" fillId="8" fontId="6" numFmtId="0" xfId="0" applyAlignment="1" applyBorder="1" applyFont="1">
      <alignment horizontal="center" readingOrder="0" shrinkToFit="0" wrapText="1"/>
    </xf>
    <xf borderId="26" fillId="4" fontId="6" numFmtId="0" xfId="0" applyAlignment="1" applyBorder="1" applyFont="1">
      <alignment horizontal="center" readingOrder="0" shrinkToFit="0" vertical="center" wrapText="1"/>
    </xf>
    <xf borderId="27" fillId="4" fontId="6" numFmtId="0" xfId="0" applyAlignment="1" applyBorder="1" applyFont="1">
      <alignment horizontal="center" readingOrder="0" shrinkToFit="0" vertical="center" wrapText="1"/>
    </xf>
    <xf borderId="59" fillId="4" fontId="6" numFmtId="0" xfId="0" applyAlignment="1" applyBorder="1" applyFont="1">
      <alignment horizontal="center" readingOrder="0" shrinkToFit="0" vertical="center" wrapText="1"/>
    </xf>
    <xf borderId="26" fillId="2" fontId="5" numFmtId="0" xfId="0" applyAlignment="1" applyBorder="1" applyFont="1">
      <alignment horizontal="center" readingOrder="0"/>
    </xf>
    <xf borderId="27" fillId="2" fontId="5" numFmtId="0" xfId="0" applyAlignment="1" applyBorder="1" applyFont="1">
      <alignment horizontal="center" readingOrder="0"/>
    </xf>
    <xf borderId="28" fillId="4" fontId="5" numFmtId="0" xfId="0" applyAlignment="1" applyBorder="1" applyFont="1">
      <alignment horizontal="center" readingOrder="0"/>
    </xf>
    <xf borderId="37" fillId="9" fontId="6" numFmtId="0" xfId="0" applyAlignment="1" applyBorder="1" applyFont="1">
      <alignment horizontal="center" readingOrder="0" shrinkToFit="0" wrapText="1"/>
    </xf>
    <xf borderId="26" fillId="3" fontId="5" numFmtId="171" xfId="0" applyAlignment="1" applyBorder="1" applyFont="1" applyNumberFormat="1">
      <alignment horizontal="center" readingOrder="0"/>
    </xf>
    <xf borderId="27" fillId="3" fontId="5" numFmtId="0" xfId="0" applyAlignment="1" applyBorder="1" applyFont="1">
      <alignment horizontal="center" readingOrder="0"/>
    </xf>
    <xf borderId="28" fillId="5" fontId="5" numFmtId="0" xfId="0" applyAlignment="1" applyBorder="1" applyFont="1">
      <alignment horizontal="center" readingOrder="0"/>
    </xf>
    <xf borderId="27" fillId="9" fontId="6" numFmtId="0" xfId="0" applyAlignment="1" applyBorder="1" applyFont="1">
      <alignment horizontal="center" readingOrder="0"/>
    </xf>
    <xf borderId="26" fillId="3" fontId="5" numFmtId="0" xfId="0" applyAlignment="1" applyBorder="1" applyFont="1">
      <alignment horizontal="center"/>
    </xf>
    <xf borderId="27" fillId="3" fontId="5" numFmtId="0" xfId="0" applyAlignment="1" applyBorder="1" applyFont="1">
      <alignment horizontal="center"/>
    </xf>
    <xf borderId="28" fillId="5" fontId="5" numFmtId="0" xfId="0" applyAlignment="1" applyBorder="1" applyFont="1">
      <alignment horizontal="center"/>
    </xf>
    <xf borderId="36" fillId="8" fontId="6" numFmtId="0" xfId="0" applyAlignment="1" applyBorder="1" applyFont="1">
      <alignment horizontal="center" readingOrder="0" shrinkToFit="0" wrapText="1"/>
    </xf>
    <xf borderId="54" fillId="9" fontId="6" numFmtId="0" xfId="0" applyAlignment="1" applyBorder="1" applyFont="1">
      <alignment horizontal="center" readingOrder="0" shrinkToFit="0" wrapText="1"/>
    </xf>
    <xf borderId="54" fillId="8" fontId="6" numFmtId="0" xfId="0" applyAlignment="1" applyBorder="1" applyFont="1">
      <alignment horizontal="center" readingOrder="0" shrinkToFit="0" wrapText="1"/>
    </xf>
    <xf borderId="59" fillId="5" fontId="6" numFmtId="3" xfId="0" applyAlignment="1" applyBorder="1" applyFont="1" applyNumberFormat="1">
      <alignment horizontal="center" readingOrder="0" shrinkToFit="0" vertical="center" wrapText="1"/>
    </xf>
    <xf borderId="50" fillId="2" fontId="5" numFmtId="0" xfId="0" applyAlignment="1" applyBorder="1" applyFont="1">
      <alignment horizontal="center" readingOrder="0" shrinkToFit="0" wrapText="1"/>
    </xf>
    <xf borderId="31" fillId="3" fontId="5" numFmtId="0" xfId="0" applyAlignment="1" applyBorder="1" applyFont="1">
      <alignment horizontal="center" readingOrder="0" shrinkToFit="0" wrapText="1"/>
    </xf>
    <xf borderId="30" fillId="2" fontId="5" numFmtId="0" xfId="0" applyAlignment="1" applyBorder="1" applyFont="1">
      <alignment horizontal="center" readingOrder="0" shrinkToFit="0" wrapText="1"/>
    </xf>
    <xf borderId="30" fillId="3" fontId="5" numFmtId="0" xfId="0" applyAlignment="1" applyBorder="1" applyFont="1">
      <alignment horizontal="center" readingOrder="0" shrinkToFit="0" wrapText="1"/>
    </xf>
    <xf borderId="30" fillId="8" fontId="5" numFmtId="0" xfId="0" applyAlignment="1" applyBorder="1" applyFont="1">
      <alignment horizontal="center" readingOrder="0" shrinkToFit="0" wrapText="1"/>
    </xf>
    <xf borderId="31" fillId="7" fontId="5" numFmtId="0" xfId="0" applyAlignment="1" applyBorder="1" applyFont="1">
      <alignment horizontal="left" readingOrder="0" shrinkToFit="0" vertical="center" wrapText="1"/>
    </xf>
    <xf borderId="51" fillId="2" fontId="8" numFmtId="0" xfId="0" applyAlignment="1" applyBorder="1" applyFont="1">
      <alignment horizontal="center" readingOrder="0" shrinkToFit="0" vertical="center" wrapText="1"/>
    </xf>
    <xf borderId="26" fillId="2" fontId="6" numFmtId="0" xfId="0" applyAlignment="1" applyBorder="1" applyFont="1">
      <alignment horizontal="center" readingOrder="0" shrinkToFit="0" wrapText="1"/>
    </xf>
    <xf borderId="27" fillId="2" fontId="6" numFmtId="0" xfId="0" applyAlignment="1" applyBorder="1" applyFont="1">
      <alignment horizontal="center" readingOrder="0" shrinkToFit="0" wrapText="1"/>
    </xf>
    <xf borderId="28" fillId="3" fontId="6" numFmtId="0" xfId="0" applyAlignment="1" applyBorder="1" applyFont="1">
      <alignment horizontal="center" readingOrder="0" shrinkToFit="0" wrapText="1"/>
    </xf>
    <xf borderId="28" fillId="9" fontId="6" numFmtId="0" xfId="0" applyAlignment="1" applyBorder="1" applyFont="1">
      <alignment horizontal="center" readingOrder="0" shrinkToFit="0" vertical="center" wrapText="1"/>
    </xf>
    <xf borderId="37" fillId="9" fontId="6" numFmtId="0" xfId="0" applyAlignment="1" applyBorder="1" applyFont="1">
      <alignment horizontal="left" readingOrder="0" shrinkToFit="0" vertical="top" wrapText="1"/>
    </xf>
    <xf borderId="26" fillId="5" fontId="6" numFmtId="0" xfId="0" applyAlignment="1" applyBorder="1" applyFont="1">
      <alignment horizontal="center" readingOrder="0" shrinkToFit="0" wrapText="1"/>
    </xf>
    <xf borderId="69" fillId="0" fontId="2" numFmtId="0" xfId="0" applyBorder="1" applyFont="1"/>
    <xf borderId="70" fillId="0" fontId="2" numFmtId="0" xfId="0" applyBorder="1" applyFont="1"/>
    <xf borderId="62" fillId="3" fontId="6" numFmtId="0" xfId="0" applyAlignment="1" applyBorder="1" applyFont="1">
      <alignment horizontal="center" readingOrder="0" shrinkToFit="0" vertical="center" wrapText="1"/>
    </xf>
    <xf borderId="71" fillId="5" fontId="5" numFmtId="0" xfId="0" applyAlignment="1" applyBorder="1" applyFont="1">
      <alignment horizontal="center"/>
    </xf>
    <xf borderId="72" fillId="0" fontId="2" numFmtId="0" xfId="0" applyBorder="1" applyFont="1"/>
    <xf borderId="73" fillId="0" fontId="2" numFmtId="0" xfId="0" applyBorder="1" applyFont="1"/>
    <xf borderId="36" fillId="5" fontId="6" numFmtId="0" xfId="0" applyAlignment="1" applyBorder="1" applyFont="1">
      <alignment horizontal="center" readingOrder="0" shrinkToFit="0" wrapText="1"/>
    </xf>
    <xf borderId="62" fillId="4" fontId="6" numFmtId="0" xfId="0" applyAlignment="1" applyBorder="1" applyFont="1">
      <alignment horizontal="center" readingOrder="0" shrinkToFit="0" vertical="center" wrapText="1"/>
    </xf>
    <xf borderId="55" fillId="2" fontId="17" numFmtId="0" xfId="0" applyAlignment="1" applyBorder="1" applyFont="1">
      <alignment horizontal="center" readingOrder="0"/>
    </xf>
    <xf borderId="28" fillId="4" fontId="6" numFmtId="0" xfId="0" applyAlignment="1" applyBorder="1" applyFont="1">
      <alignment horizontal="center" readingOrder="0" shrinkToFit="0" vertical="center" wrapText="1"/>
    </xf>
    <xf borderId="50" fillId="5" fontId="6" numFmtId="0" xfId="0" applyAlignment="1" applyBorder="1" applyFont="1">
      <alignment horizontal="center" readingOrder="0" shrinkToFit="0" wrapText="1"/>
    </xf>
    <xf borderId="31" fillId="5" fontId="6" numFmtId="0" xfId="0" applyAlignment="1" applyBorder="1" applyFont="1">
      <alignment horizontal="center" readingOrder="0" shrinkToFit="0" vertical="center" wrapText="1"/>
    </xf>
    <xf borderId="69" fillId="5" fontId="6" numFmtId="0" xfId="0" applyAlignment="1" applyBorder="1" applyFont="1">
      <alignment horizontal="left" readingOrder="0" shrinkToFit="0" vertical="top" wrapText="1"/>
    </xf>
    <xf borderId="52" fillId="3" fontId="6" numFmtId="0" xfId="0" applyAlignment="1" applyBorder="1" applyFont="1">
      <alignment horizontal="center" readingOrder="0" shrinkToFit="0" vertical="center" wrapText="1"/>
    </xf>
    <xf borderId="27" fillId="5" fontId="6" numFmtId="0" xfId="0" applyAlignment="1" applyBorder="1" applyFont="1">
      <alignment horizontal="center" shrinkToFit="0" vertical="center" wrapText="1"/>
    </xf>
    <xf borderId="59" fillId="5" fontId="6" numFmtId="0" xfId="0" applyAlignment="1" applyBorder="1" applyFont="1">
      <alignment horizontal="center" shrinkToFit="0" vertical="center" wrapText="1"/>
    </xf>
    <xf borderId="26" fillId="3" fontId="6" numFmtId="171" xfId="0" applyAlignment="1" applyBorder="1" applyFont="1" applyNumberFormat="1">
      <alignment horizontal="center" readingOrder="0" shrinkToFit="0" vertical="center" wrapText="1"/>
    </xf>
    <xf borderId="26" fillId="3" fontId="6" numFmtId="168" xfId="0" applyAlignment="1" applyBorder="1" applyFont="1" applyNumberFormat="1">
      <alignment horizontal="center" readingOrder="0" shrinkToFit="0" vertical="center" wrapText="1"/>
    </xf>
    <xf borderId="26" fillId="7" fontId="6" numFmtId="0" xfId="0" applyAlignment="1" applyBorder="1" applyFont="1">
      <alignment horizontal="center" readingOrder="0" shrinkToFit="0" wrapText="1"/>
    </xf>
    <xf borderId="28" fillId="5" fontId="6" numFmtId="2" xfId="0" applyAlignment="1" applyBorder="1" applyFont="1" applyNumberFormat="1">
      <alignment horizontal="center" readingOrder="0" shrinkToFit="0" vertical="center" wrapText="1"/>
    </xf>
    <xf borderId="27" fillId="5" fontId="6" numFmtId="0" xfId="0" applyAlignment="1" applyBorder="1" applyFont="1">
      <alignment horizontal="center" readingOrder="0" shrinkToFit="0" vertical="center" wrapText="1"/>
    </xf>
    <xf borderId="36" fillId="4" fontId="6" numFmtId="0" xfId="0" applyAlignment="1" applyBorder="1" applyFont="1">
      <alignment horizontal="center" readingOrder="0" shrinkToFit="0" vertical="center" wrapText="1"/>
    </xf>
    <xf borderId="54" fillId="5" fontId="6" numFmtId="0" xfId="0" applyAlignment="1" applyBorder="1" applyFont="1">
      <alignment horizontal="center" shrinkToFit="0" vertical="center" wrapText="1"/>
    </xf>
    <xf borderId="60" fillId="5" fontId="6" numFmtId="0" xfId="0" applyAlignment="1" applyBorder="1" applyFont="1">
      <alignment horizontal="center" shrinkToFit="0" vertical="center" wrapText="1"/>
    </xf>
    <xf borderId="71" fillId="5" fontId="6" numFmtId="0" xfId="0" applyAlignment="1" applyBorder="1" applyFont="1">
      <alignment horizontal="center" readingOrder="0" shrinkToFit="0" vertical="center" wrapText="1"/>
    </xf>
    <xf borderId="48" fillId="5" fontId="5" numFmtId="0" xfId="0" applyAlignment="1" applyBorder="1" applyFont="1">
      <alignment horizontal="center" readingOrder="0" shrinkToFit="0" wrapText="1"/>
    </xf>
    <xf borderId="31" fillId="5" fontId="5" numFmtId="0" xfId="0" applyAlignment="1" applyBorder="1" applyFont="1">
      <alignment horizontal="center" readingOrder="0" shrinkToFit="0" vertical="center" wrapText="1"/>
    </xf>
    <xf borderId="30" fillId="4" fontId="18" numFmtId="0" xfId="0" applyAlignment="1" applyBorder="1" applyFont="1">
      <alignment horizontal="center" readingOrder="0" shrinkToFit="0" vertical="center" wrapText="1"/>
    </xf>
    <xf borderId="31" fillId="4" fontId="18" numFmtId="0" xfId="0" applyAlignment="1" applyBorder="1" applyFont="1">
      <alignment horizontal="center" readingOrder="0" shrinkToFit="0" vertical="center" wrapText="1"/>
    </xf>
    <xf borderId="74" fillId="8" fontId="8" numFmtId="0" xfId="0" applyAlignment="1" applyBorder="1" applyFont="1">
      <alignment horizontal="center" readingOrder="0" shrinkToFit="0" vertical="center" wrapText="1"/>
    </xf>
    <xf borderId="75" fillId="0" fontId="2" numFmtId="0" xfId="0" applyBorder="1" applyFont="1"/>
    <xf borderId="76" fillId="0" fontId="2" numFmtId="0" xfId="0" applyBorder="1" applyFont="1"/>
    <xf borderId="19" fillId="2" fontId="4" numFmtId="0" xfId="0" applyAlignment="1" applyBorder="1" applyFont="1">
      <alignment horizontal="center" readingOrder="0" shrinkToFit="0" vertical="center" wrapText="1"/>
    </xf>
    <xf borderId="57" fillId="5" fontId="5" numFmtId="0" xfId="0" applyAlignment="1" applyBorder="1" applyFont="1">
      <alignment horizontal="center" readingOrder="0" shrinkToFit="0" wrapText="1"/>
    </xf>
    <xf borderId="28" fillId="5" fontId="5" numFmtId="0" xfId="0" applyAlignment="1" applyBorder="1" applyFont="1">
      <alignment horizontal="center" readingOrder="0" shrinkToFit="0" vertical="center" wrapText="1"/>
    </xf>
    <xf borderId="27" fillId="5" fontId="19" numFmtId="0" xfId="0" applyAlignment="1" applyBorder="1" applyFont="1">
      <alignment horizontal="center" readingOrder="0" shrinkToFit="0" vertical="center" wrapText="1"/>
    </xf>
    <xf borderId="27" fillId="5" fontId="19" numFmtId="171" xfId="0" applyAlignment="1" applyBorder="1" applyFont="1" applyNumberFormat="1">
      <alignment horizontal="center" readingOrder="0" shrinkToFit="0" vertical="center" wrapText="1"/>
    </xf>
    <xf borderId="28" fillId="5" fontId="19" numFmtId="171" xfId="0" applyAlignment="1" applyBorder="1" applyFont="1" applyNumberFormat="1">
      <alignment horizontal="center" readingOrder="0" shrinkToFit="0" vertical="center" wrapText="1"/>
    </xf>
    <xf borderId="77" fillId="8" fontId="6" numFmtId="0" xfId="0" applyAlignment="1" applyBorder="1" applyFont="1">
      <alignment horizontal="center" readingOrder="0" shrinkToFit="0" vertical="center" wrapText="1"/>
    </xf>
    <xf borderId="78" fillId="9" fontId="6" numFmtId="172" xfId="0" applyAlignment="1" applyBorder="1" applyFont="1" applyNumberFormat="1">
      <alignment horizontal="center" readingOrder="0" shrinkToFit="0" vertical="center" wrapText="1"/>
    </xf>
    <xf borderId="79" fillId="9" fontId="6" numFmtId="172" xfId="0" applyAlignment="1" applyBorder="1" applyFont="1" applyNumberFormat="1">
      <alignment horizontal="center" readingOrder="0" shrinkToFit="0" vertical="center" wrapText="1"/>
    </xf>
    <xf borderId="29" fillId="2" fontId="5" numFmtId="0" xfId="0" applyAlignment="1" applyBorder="1" applyFont="1">
      <alignment horizontal="center" readingOrder="0" shrinkToFit="0" vertical="center" wrapText="1"/>
    </xf>
    <xf borderId="27" fillId="2" fontId="5" numFmtId="0" xfId="0" applyAlignment="1" applyBorder="1" applyFont="1">
      <alignment horizontal="center" readingOrder="0" shrinkToFit="0" vertical="center" wrapText="1"/>
    </xf>
    <xf borderId="59" fillId="2" fontId="5" numFmtId="0" xfId="0" applyAlignment="1" applyBorder="1" applyFont="1">
      <alignment horizontal="center" readingOrder="0" shrinkToFit="0" vertical="center" wrapText="1"/>
    </xf>
    <xf borderId="27" fillId="5" fontId="5" numFmtId="0" xfId="0" applyAlignment="1" applyBorder="1" applyFont="1">
      <alignment horizontal="center" readingOrder="0"/>
    </xf>
    <xf borderId="27" fillId="5" fontId="5" numFmtId="171" xfId="0" applyAlignment="1" applyBorder="1" applyFont="1" applyNumberFormat="1">
      <alignment horizontal="center" readingOrder="0"/>
    </xf>
    <xf borderId="28" fillId="5" fontId="5" numFmtId="168" xfId="0" applyAlignment="1" applyBorder="1" applyFont="1" applyNumberFormat="1">
      <alignment horizontal="center" readingOrder="0"/>
    </xf>
    <xf borderId="78" fillId="9" fontId="6" numFmtId="0" xfId="0" applyAlignment="1" applyBorder="1" applyFont="1">
      <alignment horizontal="center" readingOrder="0" shrinkToFit="0" vertical="center" wrapText="1"/>
    </xf>
    <xf borderId="79" fillId="9" fontId="6" numFmtId="0" xfId="0" applyAlignment="1" applyBorder="1" applyFont="1">
      <alignment horizontal="center" readingOrder="0" shrinkToFit="0" vertical="center" wrapText="1"/>
    </xf>
    <xf borderId="29" fillId="3" fontId="6" numFmtId="0" xfId="0" applyAlignment="1" applyBorder="1" applyFont="1">
      <alignment horizontal="center" readingOrder="0" shrinkToFit="0" vertical="center" wrapText="1"/>
    </xf>
    <xf borderId="59" fillId="3" fontId="6" numFmtId="173" xfId="0" applyAlignment="1" applyBorder="1" applyFont="1" applyNumberFormat="1">
      <alignment horizontal="center" readingOrder="0" shrinkToFit="0" vertical="center" wrapText="1"/>
    </xf>
    <xf borderId="27" fillId="5" fontId="19" numFmtId="168" xfId="0" applyAlignment="1" applyBorder="1" applyFont="1" applyNumberFormat="1">
      <alignment horizontal="center" readingOrder="0" shrinkToFit="0" vertical="center" wrapText="1"/>
    </xf>
    <xf borderId="28" fillId="5" fontId="19" numFmtId="168" xfId="0" applyAlignment="1" applyBorder="1" applyFont="1" applyNumberFormat="1">
      <alignment horizontal="center" readingOrder="0" shrinkToFit="0" vertical="center" wrapText="1"/>
    </xf>
    <xf borderId="28" fillId="5" fontId="19" numFmtId="0" xfId="0" applyAlignment="1" applyBorder="1" applyFont="1">
      <alignment horizontal="center" readingOrder="0" shrinkToFit="0" vertical="center" wrapText="1"/>
    </xf>
    <xf borderId="27" fillId="3" fontId="6" numFmtId="173" xfId="0" applyAlignment="1" applyBorder="1" applyFont="1" applyNumberFormat="1">
      <alignment horizontal="center" readingOrder="0" shrinkToFit="0" vertical="center" wrapText="1"/>
    </xf>
    <xf borderId="52" fillId="5" fontId="5" numFmtId="0" xfId="0" applyAlignment="1" applyBorder="1" applyFont="1">
      <alignment horizontal="center" readingOrder="0" shrinkToFit="0" wrapText="1"/>
    </xf>
    <xf borderId="54" fillId="5" fontId="6" numFmtId="0" xfId="0" applyAlignment="1" applyBorder="1" applyFont="1">
      <alignment horizontal="left" readingOrder="0" shrinkToFit="0" vertical="top" wrapText="1"/>
    </xf>
    <xf borderId="37" fillId="5" fontId="6" numFmtId="0" xfId="0" applyAlignment="1" applyBorder="1" applyFont="1">
      <alignment horizontal="left" readingOrder="0" shrinkToFit="0" vertical="top" wrapText="1"/>
    </xf>
    <xf borderId="59" fillId="3" fontId="6" numFmtId="174" xfId="0" applyAlignment="1" applyBorder="1" applyFont="1" applyNumberFormat="1">
      <alignment horizontal="center" readingOrder="0" shrinkToFit="0" vertical="center" wrapText="1"/>
    </xf>
    <xf borderId="59" fillId="3" fontId="6" numFmtId="171" xfId="0" applyAlignment="1" applyBorder="1" applyFont="1" applyNumberFormat="1">
      <alignment horizontal="center" readingOrder="0" shrinkToFit="0" vertical="center" wrapText="1"/>
    </xf>
    <xf borderId="31" fillId="3" fontId="5" numFmtId="0" xfId="0" applyAlignment="1" applyBorder="1" applyFont="1">
      <alignment horizontal="center" readingOrder="0" shrinkToFit="0" vertical="center" wrapText="1"/>
    </xf>
    <xf borderId="26" fillId="2" fontId="5" numFmtId="0" xfId="0" applyAlignment="1" applyBorder="1" applyFont="1">
      <alignment horizontal="center" readingOrder="0" shrinkToFit="0" wrapText="1"/>
    </xf>
    <xf borderId="28" fillId="3" fontId="5" numFmtId="0" xfId="0" applyAlignment="1" applyBorder="1" applyFont="1">
      <alignment horizontal="center" readingOrder="0" shrinkToFit="0" vertical="center" wrapText="1"/>
    </xf>
    <xf borderId="28" fillId="2" fontId="5" numFmtId="0" xfId="0" applyAlignment="1" applyBorder="1" applyFont="1">
      <alignment horizontal="center" readingOrder="0" shrinkToFit="0" wrapText="1"/>
    </xf>
    <xf borderId="28" fillId="3" fontId="6" numFmtId="0" xfId="0" applyAlignment="1" applyBorder="1" applyFont="1">
      <alignment horizontal="left" readingOrder="0" shrinkToFit="0" vertical="top" wrapText="1"/>
    </xf>
    <xf borderId="29" fillId="3" fontId="6" numFmtId="173" xfId="0" applyAlignment="1" applyBorder="1" applyFont="1" applyNumberFormat="1">
      <alignment horizontal="center" readingOrder="0" shrinkToFit="0" vertical="center" wrapText="1"/>
    </xf>
    <xf borderId="37" fillId="3" fontId="6" numFmtId="0" xfId="0" applyAlignment="1" applyBorder="1" applyFont="1">
      <alignment horizontal="left" readingOrder="0" shrinkToFit="0" vertical="top" wrapText="1"/>
    </xf>
    <xf borderId="50" fillId="8" fontId="6" numFmtId="0" xfId="0" applyAlignment="1" applyBorder="1" applyFont="1">
      <alignment horizontal="center" readingOrder="0" shrinkToFit="0" vertical="center" wrapText="1"/>
    </xf>
    <xf borderId="30" fillId="9" fontId="6" numFmtId="0" xfId="0" applyAlignment="1" applyBorder="1" applyFont="1">
      <alignment horizontal="center" readingOrder="0" shrinkToFit="0" vertical="center" wrapText="1"/>
    </xf>
    <xf borderId="61" fillId="9" fontId="6" numFmtId="0" xfId="0" applyAlignment="1" applyBorder="1" applyFont="1">
      <alignment horizontal="center" readingOrder="0" shrinkToFit="0" vertical="center" wrapText="1"/>
    </xf>
    <xf borderId="36" fillId="8" fontId="6" numFmtId="0" xfId="0" applyAlignment="1" applyBorder="1" applyFont="1">
      <alignment horizontal="center" readingOrder="0" shrinkToFit="0" vertical="center" wrapText="1"/>
    </xf>
    <xf borderId="54" fillId="9" fontId="6" numFmtId="0" xfId="0" applyAlignment="1" applyBorder="1" applyFont="1">
      <alignment horizontal="center" readingOrder="0" shrinkToFit="0" vertical="center" wrapText="1"/>
    </xf>
    <xf borderId="60" fillId="9" fontId="6" numFmtId="0" xfId="0" applyAlignment="1" applyBorder="1" applyFont="1">
      <alignment horizontal="center" readingOrder="0" shrinkToFit="0" vertical="center" wrapText="1"/>
    </xf>
    <xf borderId="39" fillId="3" fontId="6" numFmtId="0" xfId="0" applyAlignment="1" applyBorder="1" applyFont="1">
      <alignment horizontal="center" readingOrder="0" shrinkToFit="0" vertical="center" wrapText="1"/>
    </xf>
    <xf borderId="60" fillId="3" fontId="6" numFmtId="174" xfId="0" applyAlignment="1" applyBorder="1" applyFont="1" applyNumberFormat="1">
      <alignment horizontal="center" readingOrder="0" shrinkToFit="0" vertical="center" wrapText="1"/>
    </xf>
    <xf borderId="80" fillId="0" fontId="2" numFmtId="0" xfId="0" applyBorder="1" applyFont="1"/>
    <xf borderId="81" fillId="0" fontId="2" numFmtId="0" xfId="0" applyBorder="1" applyFont="1"/>
    <xf borderId="82" fillId="0" fontId="2" numFmtId="0" xfId="0" applyBorder="1" applyFont="1"/>
    <xf borderId="83" fillId="4" fontId="8" numFmtId="0" xfId="0" applyAlignment="1" applyBorder="1" applyFont="1">
      <alignment horizontal="center" readingOrder="0" shrinkToFit="0" vertical="center" wrapText="1"/>
    </xf>
    <xf borderId="23" fillId="5" fontId="7" numFmtId="0" xfId="0" applyAlignment="1" applyBorder="1" applyFont="1">
      <alignment horizontal="left" readingOrder="0" shrinkToFit="0" vertical="center" wrapText="1"/>
    </xf>
    <xf borderId="23" fillId="0" fontId="2" numFmtId="0" xfId="0" applyBorder="1" applyFont="1"/>
    <xf borderId="84" fillId="0" fontId="2" numFmtId="0" xfId="0" applyBorder="1" applyFont="1"/>
    <xf borderId="67" fillId="0" fontId="2" numFmtId="0" xfId="0" applyBorder="1" applyFont="1"/>
    <xf borderId="81" fillId="0" fontId="2" numFmtId="0" xfId="0" applyBorder="1" applyFont="1"/>
    <xf borderId="68" fillId="0" fontId="2" numFmtId="0" xfId="0" applyBorder="1" applyFont="1"/>
    <xf borderId="27" fillId="3" fontId="5" numFmtId="165" xfId="0" applyAlignment="1" applyBorder="1" applyFont="1" applyNumberFormat="1">
      <alignment horizontal="center" readingOrder="0" shrinkToFit="0" vertical="center" wrapText="1"/>
    </xf>
    <xf borderId="27" fillId="3" fontId="10" numFmtId="166" xfId="0" applyAlignment="1" applyBorder="1" applyFont="1" applyNumberFormat="1">
      <alignment horizontal="center" readingOrder="0" shrinkToFit="0" wrapText="1"/>
    </xf>
    <xf borderId="27" fillId="3" fontId="6" numFmtId="166" xfId="0" applyAlignment="1" applyBorder="1" applyFont="1" applyNumberFormat="1">
      <alignment horizontal="center" readingOrder="0" shrinkToFit="0" vertical="center" wrapText="1"/>
    </xf>
    <xf borderId="0" fillId="3" fontId="6" numFmtId="0" xfId="0" applyFont="1"/>
    <xf borderId="27" fillId="10" fontId="20" numFmtId="0" xfId="0" applyAlignment="1" applyBorder="1" applyFill="1" applyFont="1">
      <alignment horizontal="center" readingOrder="0" shrinkToFit="0" vertical="center" wrapText="1"/>
    </xf>
    <xf borderId="59" fillId="10" fontId="20" numFmtId="0" xfId="0" applyAlignment="1" applyBorder="1" applyFont="1">
      <alignment horizontal="center" readingOrder="0" shrinkToFit="0" vertical="center" wrapText="1"/>
    </xf>
    <xf borderId="27" fillId="3" fontId="6" numFmtId="168" xfId="0" applyAlignment="1" applyBorder="1" applyFont="1" applyNumberFormat="1">
      <alignment horizontal="center" readingOrder="0" shrinkToFit="0" vertical="center" wrapText="1"/>
    </xf>
    <xf borderId="26" fillId="3" fontId="6" numFmtId="0" xfId="0" applyAlignment="1" applyBorder="1" applyFont="1">
      <alignment horizontal="center" shrinkToFit="0" vertical="center" wrapText="1"/>
    </xf>
    <xf borderId="59" fillId="3" fontId="15" numFmtId="0" xfId="0" applyAlignment="1" applyBorder="1" applyFont="1">
      <alignment horizontal="center" readingOrder="0" shrinkToFit="0" vertical="center" wrapText="1"/>
    </xf>
    <xf borderId="27" fillId="3" fontId="13" numFmtId="168" xfId="0" applyAlignment="1" applyBorder="1" applyFont="1" applyNumberFormat="1">
      <alignment horizontal="center" readingOrder="0" shrinkToFit="0" wrapText="1"/>
    </xf>
    <xf borderId="27" fillId="3" fontId="15" numFmtId="0" xfId="0" applyAlignment="1" applyBorder="1" applyFont="1">
      <alignment horizontal="center" readingOrder="0"/>
    </xf>
    <xf borderId="50" fillId="8" fontId="21" numFmtId="0" xfId="0" applyAlignment="1" applyBorder="1" applyFont="1">
      <alignment horizontal="center" readingOrder="0" vertical="bottom"/>
    </xf>
    <xf borderId="30" fillId="9" fontId="21" numFmtId="0" xfId="0" applyAlignment="1" applyBorder="1" applyFont="1">
      <alignment readingOrder="0" vertical="bottom"/>
    </xf>
    <xf borderId="30" fillId="8" fontId="22" numFmtId="0" xfId="0" applyAlignment="1" applyBorder="1" applyFont="1">
      <alignment horizontal="center" readingOrder="0" vertical="center"/>
    </xf>
    <xf borderId="30" fillId="9" fontId="22" numFmtId="0" xfId="0" applyAlignment="1" applyBorder="1" applyFont="1">
      <alignment horizontal="center" readingOrder="0" vertical="center"/>
    </xf>
    <xf borderId="26" fillId="3" fontId="5" numFmtId="168" xfId="0" applyAlignment="1" applyBorder="1" applyFont="1" applyNumberFormat="1">
      <alignment horizontal="center" readingOrder="0"/>
    </xf>
    <xf borderId="31" fillId="7" fontId="5" numFmtId="0" xfId="0" applyAlignment="1" applyBorder="1" applyFont="1">
      <alignment horizontal="center" readingOrder="0" shrinkToFit="0" vertical="center" wrapText="1"/>
    </xf>
    <xf borderId="28" fillId="5" fontId="23" numFmtId="0" xfId="0" applyAlignment="1" applyBorder="1" applyFont="1">
      <alignment horizontal="center" readingOrder="0" shrinkToFit="0" vertical="center" wrapText="1"/>
    </xf>
    <xf borderId="28" fillId="5" fontId="24" numFmtId="0" xfId="0" applyAlignment="1" applyBorder="1" applyFont="1">
      <alignment horizontal="center" readingOrder="0" shrinkToFit="0" vertical="center" wrapText="1"/>
    </xf>
    <xf borderId="26" fillId="3" fontId="6" numFmtId="174" xfId="0" applyAlignment="1" applyBorder="1" applyFont="1" applyNumberFormat="1">
      <alignment horizontal="center" readingOrder="0" shrinkToFit="0" vertical="center" wrapText="1"/>
    </xf>
    <xf borderId="36" fillId="5" fontId="6" numFmtId="0" xfId="0" applyAlignment="1" applyBorder="1" applyFont="1">
      <alignment horizontal="center" readingOrder="0" shrinkToFit="0" vertical="center" wrapText="1"/>
    </xf>
    <xf borderId="27" fillId="3" fontId="6" numFmtId="171" xfId="0" applyAlignment="1" applyBorder="1" applyFont="1" applyNumberFormat="1">
      <alignment horizontal="center" readingOrder="0" shrinkToFit="0" vertical="center" wrapText="1"/>
    </xf>
    <xf borderId="59" fillId="3" fontId="6" numFmtId="167" xfId="0" applyAlignment="1" applyBorder="1" applyFont="1" applyNumberFormat="1">
      <alignment horizontal="center" readingOrder="0" shrinkToFit="0" vertical="center" wrapText="1"/>
    </xf>
    <xf borderId="54" fillId="5" fontId="6" numFmtId="168" xfId="0" applyAlignment="1" applyBorder="1" applyFont="1" applyNumberFormat="1">
      <alignment horizontal="left" readingOrder="0" shrinkToFit="0" vertical="top" wrapText="1"/>
    </xf>
    <xf borderId="78" fillId="9" fontId="6" numFmtId="9" xfId="0" applyAlignment="1" applyBorder="1" applyFont="1" applyNumberFormat="1">
      <alignment horizontal="center" readingOrder="0" shrinkToFit="0" vertical="center" wrapText="1"/>
    </xf>
    <xf borderId="23" fillId="5" fontId="7" numFmtId="0" xfId="0" applyAlignment="1" applyBorder="1" applyFont="1">
      <alignment horizontal="center" readingOrder="0" shrinkToFit="0" vertical="center" wrapText="1"/>
    </xf>
    <xf borderId="27" fillId="3" fontId="5" numFmtId="166" xfId="0" applyAlignment="1" applyBorder="1" applyFont="1" applyNumberFormat="1">
      <alignment horizontal="center" readingOrder="0" shrinkToFit="0" vertical="center" wrapText="1"/>
    </xf>
    <xf borderId="37" fillId="5" fontId="5" numFmtId="0" xfId="0" applyAlignment="1" applyBorder="1" applyFont="1">
      <alignment horizontal="center" readingOrder="0" shrinkToFit="0" vertical="center" wrapText="1"/>
    </xf>
    <xf borderId="27" fillId="3" fontId="11" numFmtId="168" xfId="0" applyAlignment="1" applyBorder="1" applyFont="1" applyNumberFormat="1">
      <alignment horizontal="center" readingOrder="0" shrinkToFit="0" wrapText="1"/>
    </xf>
    <xf borderId="29" fillId="2" fontId="6" numFmtId="0" xfId="0" applyAlignment="1" applyBorder="1" applyFont="1">
      <alignment horizontal="center" readingOrder="0" shrinkToFit="0" vertical="center" wrapText="1"/>
    </xf>
    <xf borderId="27" fillId="3" fontId="20" numFmtId="0" xfId="0" applyAlignment="1" applyBorder="1" applyFont="1">
      <alignment horizontal="center" readingOrder="0" shrinkToFit="0" vertical="center" wrapText="1"/>
    </xf>
    <xf borderId="27" fillId="3" fontId="13" numFmtId="167" xfId="0" applyAlignment="1" applyBorder="1" applyFont="1" applyNumberFormat="1">
      <alignment horizontal="center" readingOrder="0" shrinkToFit="0" wrapText="1"/>
    </xf>
    <xf borderId="59" fillId="3" fontId="20" numFmtId="0" xfId="0" applyAlignment="1" applyBorder="1" applyFont="1">
      <alignment horizontal="center" readingOrder="0" shrinkToFit="0" vertical="center" wrapText="1"/>
    </xf>
    <xf borderId="27" fillId="3" fontId="20" numFmtId="0" xfId="0" applyAlignment="1" applyBorder="1" applyFont="1">
      <alignment horizontal="center" readingOrder="0"/>
    </xf>
    <xf borderId="27" fillId="10" fontId="15" numFmtId="0" xfId="0" applyAlignment="1" applyBorder="1" applyFont="1">
      <alignment horizontal="center" readingOrder="0" shrinkToFit="0" vertical="center" wrapText="1"/>
    </xf>
    <xf borderId="27" fillId="9" fontId="6" numFmtId="9" xfId="0" applyAlignment="1" applyBorder="1" applyFont="1" applyNumberFormat="1">
      <alignment horizontal="center" readingOrder="0" shrinkToFit="0" wrapText="1"/>
    </xf>
    <xf borderId="27" fillId="3" fontId="13" numFmtId="0" xfId="0" applyAlignment="1" applyBorder="1" applyFont="1">
      <alignment horizontal="center" readingOrder="0"/>
    </xf>
    <xf borderId="26" fillId="3" fontId="6" numFmtId="166" xfId="0" applyAlignment="1" applyBorder="1" applyFont="1" applyNumberFormat="1">
      <alignment horizontal="center" readingOrder="0" shrinkToFit="0" vertical="center" wrapText="1"/>
    </xf>
    <xf borderId="17" fillId="3" fontId="7" numFmtId="0" xfId="0" applyAlignment="1" applyBorder="1" applyFont="1">
      <alignment horizontal="center" readingOrder="0" shrinkToFit="0" vertical="center" wrapText="1"/>
    </xf>
    <xf borderId="18" fillId="3" fontId="25" numFmtId="0" xfId="0" applyAlignment="1" applyBorder="1" applyFont="1">
      <alignment horizontal="left" readingOrder="0" shrinkToFit="0" vertical="center" wrapText="1"/>
    </xf>
    <xf borderId="17" fillId="3" fontId="7" numFmtId="0" xfId="0" applyAlignment="1" applyBorder="1" applyFont="1">
      <alignment horizontal="center" readingOrder="0"/>
    </xf>
    <xf borderId="22" fillId="5" fontId="6" numFmtId="0" xfId="0" applyAlignment="1" applyBorder="1" applyFont="1">
      <alignment horizontal="left" readingOrder="0" shrinkToFit="0" vertical="top" wrapText="1"/>
    </xf>
    <xf borderId="27" fillId="3" fontId="7" numFmtId="169" xfId="0" applyAlignment="1" applyBorder="1" applyFont="1" applyNumberFormat="1">
      <alignment horizontal="center" readingOrder="0" shrinkToFit="0" vertical="center" wrapText="1"/>
    </xf>
    <xf borderId="27" fillId="3" fontId="5" numFmtId="167" xfId="0" applyAlignment="1" applyBorder="1" applyFont="1" applyNumberFormat="1">
      <alignment horizontal="center" readingOrder="0" shrinkToFit="0" vertical="center" wrapText="1"/>
    </xf>
    <xf borderId="28" fillId="5" fontId="6" numFmtId="0" xfId="0" applyAlignment="1" applyBorder="1" applyFont="1">
      <alignment horizontal="left" readingOrder="0" shrinkToFit="0" vertical="center" wrapText="1"/>
    </xf>
    <xf borderId="37" fillId="5" fontId="6" numFmtId="0" xfId="0" applyAlignment="1" applyBorder="1" applyFont="1">
      <alignment horizontal="left" readingOrder="0" shrinkToFit="0" vertical="center" wrapText="1"/>
    </xf>
    <xf borderId="27" fillId="3" fontId="10" numFmtId="167" xfId="0" applyAlignment="1" applyBorder="1" applyFont="1" applyNumberFormat="1">
      <alignment horizontal="center" readingOrder="0" shrinkToFit="0" wrapText="1"/>
    </xf>
    <xf borderId="64" fillId="3" fontId="15" numFmtId="0" xfId="0" applyAlignment="1" applyBorder="1" applyFont="1">
      <alignment horizontal="center" readingOrder="0" shrinkToFit="0" vertical="center" wrapText="1"/>
    </xf>
    <xf borderId="63" fillId="3" fontId="15" numFmtId="0" xfId="0" applyAlignment="1" applyBorder="1" applyFont="1">
      <alignment horizontal="center" shrinkToFit="0" vertical="center" wrapText="1"/>
    </xf>
    <xf borderId="26" fillId="3" fontId="5" numFmtId="167" xfId="0" applyAlignment="1" applyBorder="1" applyFont="1" applyNumberFormat="1">
      <alignment horizontal="center" readingOrder="0"/>
    </xf>
    <xf borderId="59" fillId="5" fontId="6" numFmtId="175" xfId="0" applyAlignment="1" applyBorder="1" applyFont="1" applyNumberFormat="1">
      <alignment horizontal="center" readingOrder="0" shrinkToFit="0" vertical="center" wrapText="1"/>
    </xf>
    <xf borderId="50" fillId="8" fontId="5" numFmtId="0" xfId="0" applyAlignment="1" applyBorder="1" applyFont="1">
      <alignment horizontal="center" readingOrder="0" shrinkToFit="0" wrapText="1"/>
    </xf>
    <xf borderId="31" fillId="9" fontId="5" numFmtId="0" xfId="0" applyAlignment="1" applyBorder="1" applyFont="1">
      <alignment horizontal="center" readingOrder="0" shrinkToFit="0" wrapText="1"/>
    </xf>
    <xf borderId="30" fillId="9" fontId="5" numFmtId="0" xfId="0" applyAlignment="1" applyBorder="1" applyFont="1">
      <alignment horizontal="center" readingOrder="0" shrinkToFit="0" wrapText="1"/>
    </xf>
    <xf borderId="59" fillId="5" fontId="6" numFmtId="176" xfId="0" applyAlignment="1" applyBorder="1" applyFont="1" applyNumberFormat="1">
      <alignment horizontal="center" readingOrder="0" shrinkToFit="0" vertical="center" wrapText="1"/>
    </xf>
    <xf borderId="21" fillId="2" fontId="8" numFmtId="0" xfId="0" applyAlignment="1" applyBorder="1" applyFont="1">
      <alignment horizontal="center" readingOrder="0" shrinkToFit="0" vertical="center" wrapText="1"/>
    </xf>
    <xf borderId="21" fillId="3" fontId="7" numFmtId="0" xfId="0" applyAlignment="1" applyBorder="1" applyFont="1">
      <alignment horizontal="center" readingOrder="0" shrinkToFit="0" vertical="center" wrapText="1"/>
    </xf>
    <xf borderId="22" fillId="5" fontId="6" numFmtId="0" xfId="0" applyAlignment="1" applyBorder="1" applyFont="1">
      <alignment horizontal="center" readingOrder="0" shrinkToFit="0" vertical="center" wrapText="1"/>
    </xf>
    <xf borderId="27" fillId="5" fontId="7" numFmtId="170" xfId="0" applyAlignment="1" applyBorder="1" applyFont="1" applyNumberFormat="1">
      <alignment horizontal="center" readingOrder="0" shrinkToFit="0" vertical="center" wrapText="1"/>
    </xf>
    <xf borderId="28" fillId="5" fontId="7" numFmtId="46" xfId="0" applyAlignment="1" applyBorder="1" applyFont="1" applyNumberFormat="1">
      <alignment horizontal="center" readingOrder="0" shrinkToFit="0" vertical="center" wrapText="1"/>
    </xf>
    <xf borderId="30" fillId="9" fontId="21" numFmtId="0" xfId="0" applyAlignment="1" applyBorder="1" applyFont="1">
      <alignment readingOrder="0" shrinkToFit="0" vertical="bottom" wrapText="1"/>
    </xf>
    <xf borderId="49" fillId="5" fontId="6" numFmtId="0" xfId="0" applyAlignment="1" applyBorder="1" applyFont="1">
      <alignment horizontal="center" readingOrder="0" shrinkToFit="0" vertical="center" wrapText="1"/>
    </xf>
    <xf borderId="46" fillId="5" fontId="6" numFmtId="0" xfId="0" applyAlignment="1" applyBorder="1" applyFont="1">
      <alignment horizontal="center" readingOrder="0" shrinkToFit="0" vertical="center" wrapText="1"/>
    </xf>
    <xf borderId="67" fillId="5" fontId="6" numFmtId="0" xfId="0" applyAlignment="1" applyBorder="1" applyFont="1">
      <alignment horizontal="center" readingOrder="0" shrinkToFit="0" vertical="center" wrapText="1"/>
    </xf>
    <xf borderId="68" fillId="5" fontId="6" numFmtId="0" xfId="0" applyAlignment="1" applyBorder="1" applyFont="1">
      <alignment horizontal="center" readingOrder="0" shrinkToFit="0" vertical="center" wrapText="1"/>
    </xf>
    <xf borderId="83" fillId="2" fontId="8" numFmtId="0" xfId="0" applyAlignment="1" applyBorder="1" applyFont="1">
      <alignment horizontal="center" readingOrder="0" shrinkToFit="0" vertical="center" wrapText="1"/>
    </xf>
    <xf borderId="84" fillId="0" fontId="2" numFmtId="0" xfId="0" applyBorder="1" applyFont="1"/>
    <xf borderId="16" fillId="2" fontId="5" numFmtId="0" xfId="0" applyAlignment="1" applyBorder="1" applyFont="1">
      <alignment horizontal="center" readingOrder="0" shrinkToFit="0" wrapText="1"/>
    </xf>
    <xf borderId="22" fillId="3" fontId="5" numFmtId="0" xfId="0" applyAlignment="1" applyBorder="1" applyFont="1">
      <alignment horizontal="center" readingOrder="0" shrinkToFit="0" wrapText="1"/>
    </xf>
    <xf borderId="24" fillId="0" fontId="2" numFmtId="0" xfId="0" applyBorder="1" applyFont="1"/>
    <xf borderId="21" fillId="2" fontId="5" numFmtId="0" xfId="0" applyAlignment="1" applyBorder="1" applyFont="1">
      <alignment horizontal="center" readingOrder="0" shrinkToFit="0" wrapText="1"/>
    </xf>
    <xf borderId="21" fillId="3" fontId="5" numFmtId="0" xfId="0" applyAlignment="1" applyBorder="1" applyFont="1">
      <alignment horizontal="center" readingOrder="0" shrinkToFit="0" wrapText="1"/>
    </xf>
    <xf borderId="21" fillId="2" fontId="6" numFmtId="0" xfId="0" applyAlignment="1" applyBorder="1" applyFont="1">
      <alignment horizontal="center" readingOrder="0" shrinkToFit="0" wrapText="1"/>
    </xf>
    <xf borderId="85" fillId="3" fontId="6" numFmtId="0" xfId="0" applyAlignment="1" applyBorder="1" applyFont="1">
      <alignment horizontal="center" readingOrder="0" shrinkToFit="0" wrapText="1"/>
    </xf>
    <xf borderId="84" fillId="3" fontId="8" numFmtId="0" xfId="0" applyAlignment="1" applyBorder="1" applyFont="1">
      <alignment horizontal="center" readingOrder="0" shrinkToFit="0" vertical="center" wrapText="1"/>
    </xf>
    <xf borderId="57" fillId="2" fontId="6" numFmtId="0" xfId="0" applyAlignment="1" applyBorder="1" applyFont="1">
      <alignment horizontal="center" readingOrder="0" shrinkToFit="0" wrapText="1"/>
    </xf>
    <xf borderId="27" fillId="3" fontId="6" numFmtId="0" xfId="0" applyAlignment="1" applyBorder="1" applyFont="1">
      <alignment horizontal="center" readingOrder="0" shrinkToFit="0" wrapText="1"/>
    </xf>
    <xf borderId="28" fillId="8" fontId="6" numFmtId="0" xfId="0" applyAlignment="1" applyBorder="1" applyFont="1">
      <alignment horizontal="center" readingOrder="0" shrinkToFit="0" wrapText="1"/>
    </xf>
    <xf borderId="29" fillId="0" fontId="2" numFmtId="0" xfId="0" applyBorder="1" applyFont="1"/>
    <xf borderId="27" fillId="9" fontId="6" numFmtId="0" xfId="0" applyAlignment="1" applyBorder="1" applyFont="1">
      <alignment horizontal="center" readingOrder="0" shrinkToFit="0" wrapText="1"/>
    </xf>
    <xf borderId="27" fillId="8" fontId="6" numFmtId="0" xfId="0" applyAlignment="1" applyBorder="1" applyFont="1">
      <alignment horizontal="center" readingOrder="0" shrinkToFit="0" wrapText="1"/>
    </xf>
    <xf borderId="59" fillId="11" fontId="6" numFmtId="0" xfId="0" applyAlignment="1" applyBorder="1" applyFill="1" applyFont="1">
      <alignment horizontal="center" readingOrder="0" shrinkToFit="0" wrapText="1"/>
    </xf>
    <xf borderId="57" fillId="8" fontId="6" numFmtId="0" xfId="0" applyAlignment="1" applyBorder="1" applyFont="1">
      <alignment horizontal="center" readingOrder="0" shrinkToFit="0" wrapText="1"/>
    </xf>
    <xf borderId="28" fillId="9" fontId="6" numFmtId="0" xfId="0" applyAlignment="1" applyBorder="1" applyFont="1">
      <alignment horizontal="center" readingOrder="0" shrinkToFit="0" vertical="center" wrapText="1"/>
    </xf>
    <xf borderId="28" fillId="9" fontId="6" numFmtId="0" xfId="0" applyAlignment="1" applyBorder="1" applyFont="1">
      <alignment horizontal="left" readingOrder="0" shrinkToFit="0" vertical="top" wrapText="1"/>
    </xf>
    <xf borderId="27" fillId="8" fontId="6" numFmtId="0" xfId="0" applyAlignment="1" applyBorder="1" applyFont="1">
      <alignment horizontal="left" readingOrder="0" shrinkToFit="0" vertical="top" wrapText="1"/>
    </xf>
    <xf borderId="59" fillId="11" fontId="6" numFmtId="0" xfId="0" applyAlignment="1" applyBorder="1" applyFont="1">
      <alignment horizontal="left" readingOrder="0" shrinkToFit="0" vertical="top" wrapText="1"/>
    </xf>
    <xf borderId="57" fillId="5" fontId="6" numFmtId="0" xfId="0" applyAlignment="1" applyBorder="1" applyFont="1">
      <alignment horizontal="center" readingOrder="0" shrinkToFit="0" wrapText="1"/>
    </xf>
    <xf borderId="28" fillId="5" fontId="6" numFmtId="0" xfId="0" applyAlignment="1" applyBorder="1" applyFont="1">
      <alignment horizontal="center" readingOrder="0" shrinkToFit="0" vertical="center" wrapText="1"/>
    </xf>
    <xf borderId="37" fillId="9" fontId="6" numFmtId="0" xfId="0" applyAlignment="1" applyBorder="1" applyFont="1">
      <alignment horizontal="left" readingOrder="0" shrinkToFit="0" vertical="top" wrapText="1"/>
    </xf>
    <xf borderId="38" fillId="0" fontId="2" numFmtId="0" xfId="0" applyBorder="1" applyFont="1"/>
    <xf borderId="49" fillId="0" fontId="2" numFmtId="0" xfId="0" applyBorder="1" applyFont="1"/>
    <xf borderId="69" fillId="0" fontId="2" numFmtId="0" xfId="0" applyBorder="1" applyFont="1"/>
    <xf borderId="46" fillId="0" fontId="2" numFmtId="0" xfId="0" applyBorder="1" applyFont="1"/>
    <xf borderId="65" fillId="5" fontId="6" numFmtId="0" xfId="0" applyAlignment="1" applyBorder="1" applyFont="1">
      <alignment horizontal="center" readingOrder="0" shrinkToFit="0" wrapText="1"/>
    </xf>
    <xf borderId="71" fillId="5" fontId="6" numFmtId="0" xfId="0" applyAlignment="1" applyBorder="1" applyFont="1">
      <alignment horizontal="center" readingOrder="0" shrinkToFit="0" vertical="center" wrapText="1"/>
    </xf>
    <xf borderId="66" fillId="0" fontId="2" numFmtId="0" xfId="0" applyBorder="1" applyFont="1"/>
    <xf borderId="80" fillId="0" fontId="2" numFmtId="0" xfId="0" applyBorder="1" applyFont="1"/>
    <xf borderId="67" fillId="2" fontId="8" numFmtId="0" xfId="0" applyAlignment="1" applyBorder="1" applyFont="1">
      <alignment horizontal="center" readingOrder="0" shrinkToFit="0" vertical="center" wrapText="1"/>
    </xf>
    <xf borderId="22" fillId="5" fontId="5" numFmtId="0" xfId="0" applyAlignment="1" applyBorder="1" applyFont="1">
      <alignment horizontal="center" readingOrder="0" shrinkToFit="0" vertical="center" wrapText="1"/>
    </xf>
    <xf borderId="28" fillId="5" fontId="5" numFmtId="165" xfId="0" applyAlignment="1" applyBorder="1" applyFont="1" applyNumberFormat="1">
      <alignment horizontal="center" readingOrder="0" shrinkToFit="0" vertical="center" wrapText="1"/>
    </xf>
    <xf borderId="27" fillId="3" fontId="11" numFmtId="167" xfId="0" applyAlignment="1" applyBorder="1" applyFont="1" applyNumberFormat="1">
      <alignment horizontal="center" readingOrder="0" shrinkToFit="0" wrapText="1"/>
    </xf>
    <xf borderId="55" fillId="2" fontId="26" numFmtId="0" xfId="0" applyAlignment="1" applyBorder="1" applyFont="1">
      <alignment horizontal="center" readingOrder="0" shrinkToFit="0" vertical="center" wrapText="1"/>
    </xf>
    <xf borderId="26" fillId="2" fontId="15" numFmtId="0" xfId="0" applyAlignment="1" applyBorder="1" applyFont="1">
      <alignment horizontal="center" readingOrder="0" shrinkToFit="0" vertical="center" wrapText="1"/>
    </xf>
    <xf borderId="27" fillId="2" fontId="15" numFmtId="0" xfId="0" applyAlignment="1" applyBorder="1" applyFont="1">
      <alignment horizontal="center" readingOrder="0" shrinkToFit="0" vertical="center" wrapText="1"/>
    </xf>
    <xf borderId="59" fillId="2" fontId="15" numFmtId="0" xfId="0" applyAlignment="1" applyBorder="1" applyFont="1">
      <alignment horizontal="center" readingOrder="0" shrinkToFit="0" vertical="center" wrapText="1"/>
    </xf>
    <xf borderId="36" fillId="2" fontId="15" numFmtId="0" xfId="0" applyAlignment="1" applyBorder="1" applyFont="1">
      <alignment horizontal="center" readingOrder="0" shrinkToFit="0" vertical="center" wrapText="1"/>
    </xf>
    <xf borderId="60" fillId="3" fontId="15" numFmtId="3" xfId="0" applyAlignment="1" applyBorder="1" applyFont="1" applyNumberFormat="1">
      <alignment horizontal="center" readingOrder="0" shrinkToFit="0" vertical="center" wrapText="1"/>
    </xf>
    <xf borderId="26" fillId="3" fontId="15" numFmtId="167" xfId="0" applyAlignment="1" applyBorder="1" applyFont="1" applyNumberFormat="1">
      <alignment horizontal="center" readingOrder="0" shrinkToFit="0" vertical="center" wrapText="1"/>
    </xf>
    <xf borderId="26" fillId="3" fontId="15" numFmtId="168" xfId="0" applyAlignment="1" applyBorder="1" applyFont="1" applyNumberFormat="1">
      <alignment horizontal="center" readingOrder="0" shrinkToFit="0" vertical="center" wrapText="1"/>
    </xf>
    <xf borderId="60" fillId="3" fontId="15" numFmtId="0" xfId="0" applyAlignment="1" applyBorder="1" applyFont="1">
      <alignment horizontal="center" readingOrder="0" shrinkToFit="0" vertical="center" wrapText="1"/>
    </xf>
    <xf borderId="26" fillId="3" fontId="15" numFmtId="166" xfId="0" applyAlignment="1" applyBorder="1" applyFont="1" applyNumberFormat="1">
      <alignment horizontal="center" readingOrder="0" shrinkToFit="0" vertical="center" wrapText="1"/>
    </xf>
    <xf borderId="60" fillId="3" fontId="15" numFmtId="4" xfId="0" applyAlignment="1" applyBorder="1" applyFont="1" applyNumberFormat="1">
      <alignment horizontal="center" readingOrder="0" shrinkToFit="0" vertical="center" wrapText="1"/>
    </xf>
    <xf borderId="57" fillId="2" fontId="26" numFmtId="0" xfId="0" applyAlignment="1" applyBorder="1" applyFont="1">
      <alignment horizontal="center" readingOrder="0" shrinkToFit="0" vertical="center" wrapText="1"/>
    </xf>
    <xf borderId="57" fillId="3" fontId="15" numFmtId="0" xfId="0" applyAlignment="1" applyBorder="1" applyFont="1">
      <alignment horizontal="center" readingOrder="0" shrinkToFit="0" vertical="center" wrapText="1"/>
    </xf>
    <xf borderId="52" fillId="3" fontId="15" numFmtId="0" xfId="0" applyAlignment="1" applyBorder="1" applyFont="1">
      <alignment horizontal="center" readingOrder="0" shrinkToFit="0" vertical="center" wrapText="1"/>
    </xf>
    <xf borderId="65" fillId="3" fontId="15" numFmtId="0" xfId="0" applyAlignment="1" applyBorder="1" applyFont="1">
      <alignment horizontal="center" readingOrder="0" shrinkToFit="0" vertical="center" wrapText="1"/>
    </xf>
    <xf borderId="63" fillId="3" fontId="15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readingOrder="0"/>
    </xf>
    <xf borderId="54" fillId="4" fontId="6" numFmtId="0" xfId="0" applyAlignment="1" applyBorder="1" applyFont="1">
      <alignment horizontal="center" readingOrder="0" shrinkToFit="0" vertical="center" wrapText="1"/>
    </xf>
    <xf borderId="57" fillId="5" fontId="6" numFmtId="0" xfId="0" applyAlignment="1" applyBorder="1" applyFont="1">
      <alignment horizontal="center" readingOrder="0" shrinkToFit="0" vertical="center" wrapText="1"/>
    </xf>
    <xf borderId="58" fillId="5" fontId="6" numFmtId="0" xfId="0" applyAlignment="1" applyBorder="1" applyFont="1">
      <alignment horizontal="center" readingOrder="0" shrinkToFit="0" vertical="center" wrapText="1"/>
    </xf>
    <xf borderId="58" fillId="5" fontId="6" numFmtId="3" xfId="0" applyAlignment="1" applyBorder="1" applyFont="1" applyNumberFormat="1">
      <alignment horizontal="center" readingOrder="0" shrinkToFit="0" vertical="center" wrapText="1"/>
    </xf>
    <xf borderId="74" fillId="8" fontId="8" numFmtId="0" xfId="0" applyAlignment="1" applyBorder="1" applyFont="1">
      <alignment horizontal="left" readingOrder="0" shrinkToFit="0" vertical="center" wrapText="1"/>
    </xf>
    <xf borderId="77" fillId="8" fontId="6" numFmtId="0" xfId="0" applyAlignment="1" applyBorder="1" applyFont="1">
      <alignment horizontal="left" readingOrder="0" shrinkToFit="0" vertical="center" wrapText="1"/>
    </xf>
    <xf borderId="78" fillId="9" fontId="6" numFmtId="172" xfId="0" applyAlignment="1" applyBorder="1" applyFont="1" applyNumberFormat="1">
      <alignment horizontal="left" readingOrder="0" shrinkToFit="0" vertical="center" wrapText="1"/>
    </xf>
    <xf borderId="79" fillId="9" fontId="6" numFmtId="172" xfId="0" applyAlignment="1" applyBorder="1" applyFont="1" applyNumberFormat="1">
      <alignment horizontal="left" readingOrder="0" shrinkToFit="0" vertical="center" wrapText="1"/>
    </xf>
    <xf borderId="28" fillId="5" fontId="5" numFmtId="171" xfId="0" applyAlignment="1" applyBorder="1" applyFont="1" applyNumberFormat="1">
      <alignment horizontal="center" readingOrder="0"/>
    </xf>
    <xf borderId="0" fillId="0" fontId="14" numFmtId="0" xfId="0" applyAlignment="1" applyFont="1">
      <alignment horizontal="left" readingOrder="0"/>
    </xf>
    <xf borderId="79" fillId="9" fontId="6" numFmtId="0" xfId="0" applyAlignment="1" applyBorder="1" applyFont="1">
      <alignment horizontal="left" readingOrder="0" shrinkToFit="0" vertical="center" wrapText="1"/>
    </xf>
    <xf borderId="27" fillId="3" fontId="6" numFmtId="174" xfId="0" applyAlignment="1" applyBorder="1" applyFont="1" applyNumberFormat="1">
      <alignment horizontal="center" readingOrder="0" shrinkToFit="0" vertical="center" wrapText="1"/>
    </xf>
    <xf borderId="78" fillId="9" fontId="6" numFmtId="0" xfId="0" applyAlignment="1" applyBorder="1" applyFont="1">
      <alignment horizontal="left" readingOrder="0" shrinkToFit="0" vertical="center" wrapText="1"/>
    </xf>
    <xf borderId="50" fillId="8" fontId="6" numFmtId="0" xfId="0" applyAlignment="1" applyBorder="1" applyFont="1">
      <alignment horizontal="left" readingOrder="0" shrinkToFit="0" vertical="center" wrapText="1"/>
    </xf>
    <xf borderId="30" fillId="9" fontId="6" numFmtId="0" xfId="0" applyAlignment="1" applyBorder="1" applyFont="1">
      <alignment horizontal="left" readingOrder="0" shrinkToFit="0" vertical="center" wrapText="1"/>
    </xf>
    <xf borderId="61" fillId="9" fontId="6" numFmtId="0" xfId="0" applyAlignment="1" applyBorder="1" applyFont="1">
      <alignment horizontal="left" readingOrder="0" shrinkToFit="0" vertical="center" wrapText="1"/>
    </xf>
    <xf borderId="27" fillId="3" fontId="5" numFmtId="0" xfId="0" applyAlignment="1" applyBorder="1" applyFont="1">
      <alignment horizontal="center" readingOrder="0" shrinkToFit="0" vertical="center" wrapText="1"/>
    </xf>
    <xf borderId="27" fillId="3" fontId="6" numFmtId="167" xfId="0" applyAlignment="1" applyBorder="1" applyFont="1" applyNumberFormat="1">
      <alignment horizontal="center" readingOrder="0" shrinkToFit="0" wrapText="1"/>
    </xf>
    <xf borderId="27" fillId="3" fontId="14" numFmtId="0" xfId="0" applyAlignment="1" applyBorder="1" applyFont="1">
      <alignment horizontal="center" readingOrder="0"/>
    </xf>
    <xf borderId="64" fillId="3" fontId="20" numFmtId="0" xfId="0" applyAlignment="1" applyBorder="1" applyFont="1">
      <alignment horizontal="center" readingOrder="0" shrinkToFit="0" vertical="center" wrapText="1"/>
    </xf>
    <xf borderId="63" fillId="3" fontId="6" numFmtId="0" xfId="0" applyAlignment="1" applyBorder="1" applyFont="1">
      <alignment horizontal="center" shrinkToFit="0" vertical="center" wrapText="1"/>
    </xf>
    <xf borderId="31" fillId="9" fontId="5" numFmtId="0" xfId="0" applyAlignment="1" applyBorder="1" applyFont="1">
      <alignment horizontal="left" readingOrder="0" shrinkToFit="0" vertical="center" wrapText="1"/>
    </xf>
    <xf borderId="26" fillId="3" fontId="6" numFmtId="167" xfId="0" applyAlignment="1" applyBorder="1" applyFont="1" applyNumberFormat="1">
      <alignment horizontal="center" readingOrder="0" shrinkToFit="0" vertical="center" wrapText="1"/>
    </xf>
    <xf borderId="27" fillId="3" fontId="5" numFmtId="168" xfId="0" applyAlignment="1" applyBorder="1" applyFont="1" applyNumberFormat="1">
      <alignment horizontal="center" readingOrder="0" shrinkToFit="0" vertical="center" wrapText="1"/>
    </xf>
    <xf borderId="57" fillId="2" fontId="6" numFmtId="0" xfId="0" applyAlignment="1" applyBorder="1" applyFont="1">
      <alignment horizontal="center" readingOrder="0" shrinkToFit="0" vertical="center" wrapText="1"/>
    </xf>
    <xf borderId="79" fillId="9" fontId="6" numFmtId="9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10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>
        <color rgb="FF000000"/>
      </font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obilemed-prod.s3.amazonaws.com/producao/exame/laudo_signed/1765419598282-I96ry~3E2Iu3kvxcL018uiE5~fsYJY.pdf" TargetMode="External"/><Relationship Id="rId2" Type="http://schemas.openxmlformats.org/officeDocument/2006/relationships/hyperlink" Target="https://mobilemed-prod.s3.amazonaws.com/producao/exame/laudo_signed/1765419327316-DMHFElGQ6WLaGnoo8Gz7Zn0spXETZ4.pdf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obilemed-prod.s3.amazonaws.com/producao/exame/laudo_signed/1766004662832-N16od8fodkH060kveySOmEG1VBAkoZ.pdf" TargetMode="External"/><Relationship Id="rId2" Type="http://schemas.openxmlformats.org/officeDocument/2006/relationships/hyperlink" Target="https://mobilemed-prod.s3.amazonaws.com/producao/exame/laudo_signed/1766004664586-x9Fke_qV3WmR5SPGvvPlRjPp1CnO4a.pdf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mobilemed-prod.s3.amazonaws.com/producao/exame/laudo_signed/1765932638107-hkkFNA3O_AzHBZYofSNvjY~pjHSqwQ.pdf" TargetMode="External"/><Relationship Id="rId2" Type="http://schemas.openxmlformats.org/officeDocument/2006/relationships/hyperlink" Target="https://mobilemed-prod.s3.amazonaws.com/producao/exame/laudo_signed/1765931589896-IrZmAJN7sdxNyEMhml8BR5YLW5q0mr.pdf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mobilemed-prod.s3.amazonaws.com/producao/exame/laudo_signed/1765935468548-aKdDp6iT9z6wp8oWl54XdX6JS6Xyd~.pdf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35.88"/>
    <col customWidth="1" hidden="1" min="3" max="5" width="2.88"/>
    <col customWidth="1" min="6" max="6" width="7.25"/>
    <col customWidth="1" min="8" max="8" width="4.75"/>
    <col customWidth="1" min="9" max="13" width="6.13"/>
    <col customWidth="1" min="16" max="16" width="14.88"/>
  </cols>
  <sheetData>
    <row r="1" ht="4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 t="s">
        <v>1</v>
      </c>
      <c r="Q1" s="5">
        <f>NOW()</f>
        <v>46009.43391</v>
      </c>
      <c r="R1" s="3"/>
    </row>
    <row r="2">
      <c r="A2" s="6" t="s">
        <v>2</v>
      </c>
      <c r="B2" s="7" t="s">
        <v>3</v>
      </c>
      <c r="C2" s="8"/>
      <c r="D2" s="8"/>
      <c r="E2" s="8"/>
      <c r="F2" s="6" t="s">
        <v>4</v>
      </c>
      <c r="G2" s="9" t="s">
        <v>5</v>
      </c>
      <c r="H2" s="3"/>
      <c r="I2" s="10" t="s">
        <v>6</v>
      </c>
      <c r="J2" s="2"/>
      <c r="K2" s="2"/>
      <c r="L2" s="2"/>
      <c r="M2" s="3"/>
      <c r="N2" s="6" t="s">
        <v>7</v>
      </c>
      <c r="O2" s="6" t="s">
        <v>8</v>
      </c>
      <c r="P2" s="6" t="s">
        <v>9</v>
      </c>
      <c r="Q2" s="6" t="s">
        <v>10</v>
      </c>
      <c r="R2" s="6" t="s">
        <v>11</v>
      </c>
    </row>
    <row r="3" ht="9.75" customHeight="1">
      <c r="A3" s="11" t="s">
        <v>12</v>
      </c>
      <c r="B3" s="12" t="str">
        <f t="array" ref="B3:E3">SORT('L1'!D1:G1)</f>
        <v>EDITE SOARES DA SILVA</v>
      </c>
      <c r="C3" s="13"/>
      <c r="D3" s="13"/>
      <c r="E3" s="13"/>
      <c r="F3" s="14">
        <f t="array" ref="F3">SORT('L1'!I1)</f>
        <v>73</v>
      </c>
      <c r="G3" s="15" t="str">
        <f t="array" ref="G3:H3">SORT('L1'!L29:M29)</f>
        <v>DIBEN</v>
      </c>
      <c r="H3" s="16"/>
      <c r="I3" s="17" t="str">
        <f t="array" ref="I3:L6">SORT('L1'!N31:Q34)</f>
        <v>OBS: 56 ML/H  + SUPLEMENTAÇÃO, RESTRIÇAO HIDRICA POR  BALANÇO MUITO  POSITIVO </v>
      </c>
      <c r="J3" s="18"/>
      <c r="K3" s="18"/>
      <c r="L3" s="18"/>
      <c r="M3" s="16"/>
      <c r="N3" s="14" t="str">
        <f t="array" ref="N3">SORT('L1'!O30)</f>
        <v>56 ML/H</v>
      </c>
      <c r="O3" s="14" t="str">
        <f t="array" ref="O3">SORT('L1'!Q30)</f>
        <v>RH</v>
      </c>
      <c r="P3" s="14">
        <f t="array" ref="P3">SORT('L1'!Q29)</f>
        <v>65.4</v>
      </c>
      <c r="Q3" s="19">
        <f t="array" ref="Q3">SORT('L1'!D2)</f>
        <v>45992.02083</v>
      </c>
      <c r="R3" s="14">
        <f t="array" ref="R3">SORT('L1'!B1)</f>
        <v>64111</v>
      </c>
    </row>
    <row r="4" ht="9.75" customHeight="1">
      <c r="A4" s="20"/>
      <c r="B4" s="20"/>
      <c r="C4" s="13"/>
      <c r="D4" s="13"/>
      <c r="E4" s="13"/>
      <c r="F4" s="20"/>
      <c r="G4" s="21"/>
      <c r="H4" s="22"/>
      <c r="I4" s="21"/>
      <c r="M4" s="22"/>
      <c r="N4" s="20"/>
      <c r="O4" s="20"/>
      <c r="P4" s="20"/>
      <c r="Q4" s="20"/>
      <c r="R4" s="20"/>
    </row>
    <row r="5" ht="9.75" customHeight="1">
      <c r="A5" s="20"/>
      <c r="B5" s="20"/>
      <c r="C5" s="13"/>
      <c r="D5" s="13"/>
      <c r="E5" s="13"/>
      <c r="F5" s="20"/>
      <c r="G5" s="21"/>
      <c r="H5" s="22"/>
      <c r="I5" s="21"/>
      <c r="M5" s="22"/>
      <c r="N5" s="20"/>
      <c r="O5" s="20"/>
      <c r="P5" s="20"/>
      <c r="Q5" s="20"/>
      <c r="R5" s="20"/>
    </row>
    <row r="6" ht="1.5" customHeight="1">
      <c r="A6" s="23"/>
      <c r="B6" s="23"/>
      <c r="C6" s="13"/>
      <c r="D6" s="13"/>
      <c r="E6" s="13"/>
      <c r="F6" s="23"/>
      <c r="G6" s="24"/>
      <c r="H6" s="25"/>
      <c r="I6" s="24"/>
      <c r="J6" s="26"/>
      <c r="K6" s="26"/>
      <c r="L6" s="26"/>
      <c r="M6" s="25"/>
      <c r="N6" s="23"/>
      <c r="O6" s="23"/>
      <c r="P6" s="23"/>
      <c r="Q6" s="23"/>
      <c r="R6" s="23"/>
    </row>
    <row r="7" ht="9.75" customHeight="1">
      <c r="A7" s="11" t="s">
        <v>13</v>
      </c>
      <c r="B7" s="12" t="str">
        <f t="array" ref="B7:E7">SORT('L2'!D1:G1)</f>
        <v>ZILDA DE OLIVEIRA ZOCATELLI</v>
      </c>
      <c r="C7" s="13"/>
      <c r="D7" s="13"/>
      <c r="E7" s="13"/>
      <c r="F7" s="14">
        <f t="array" ref="F7">SORT('L2'!I1)</f>
        <v>76</v>
      </c>
      <c r="G7" s="15" t="str">
        <f t="array" ref="G7:H7">SORT('L2'!L29:M29)</f>
        <v>JEJUM</v>
      </c>
      <c r="H7" s="16"/>
      <c r="I7" s="17" t="str">
        <f t="array" ref="I7:L10">SORT('L2'!N31:Q34)</f>
        <v> OBS: SNE</v>
      </c>
      <c r="J7" s="18"/>
      <c r="K7" s="18"/>
      <c r="L7" s="18"/>
      <c r="M7" s="16"/>
      <c r="N7" s="14" t="str">
        <f t="array" ref="N7">SORT('L2'!O30)</f>
        <v>58ML/H</v>
      </c>
      <c r="O7" s="14" t="str">
        <f t="array" ref="O7">SORT('L2'!Q30)</f>
        <v>RH</v>
      </c>
      <c r="P7" s="14">
        <f t="array" ref="P7">SORT('L2'!Q29)</f>
        <v>97.2</v>
      </c>
      <c r="Q7" s="27">
        <f t="array" ref="Q7">SORT('L2'!D2)</f>
        <v>46001.91667</v>
      </c>
      <c r="R7" s="11">
        <f t="array" ref="R7">SORT('L2'!B1)</f>
        <v>359245</v>
      </c>
    </row>
    <row r="8" ht="9.75" customHeight="1">
      <c r="A8" s="20"/>
      <c r="B8" s="20"/>
      <c r="C8" s="13"/>
      <c r="D8" s="13"/>
      <c r="E8" s="13"/>
      <c r="F8" s="20"/>
      <c r="G8" s="21"/>
      <c r="H8" s="22"/>
      <c r="I8" s="21"/>
      <c r="M8" s="22"/>
      <c r="N8" s="20"/>
      <c r="O8" s="20"/>
      <c r="P8" s="20"/>
      <c r="Q8" s="20"/>
      <c r="R8" s="20"/>
    </row>
    <row r="9" ht="9.75" customHeight="1">
      <c r="A9" s="20"/>
      <c r="B9" s="20"/>
      <c r="C9" s="13"/>
      <c r="D9" s="13"/>
      <c r="E9" s="13"/>
      <c r="F9" s="20"/>
      <c r="G9" s="21"/>
      <c r="H9" s="22"/>
      <c r="I9" s="21"/>
      <c r="M9" s="22"/>
      <c r="N9" s="20"/>
      <c r="O9" s="20"/>
      <c r="P9" s="20"/>
      <c r="Q9" s="20"/>
      <c r="R9" s="20"/>
    </row>
    <row r="10" ht="22.5" customHeight="1">
      <c r="A10" s="23"/>
      <c r="B10" s="23"/>
      <c r="C10" s="13"/>
      <c r="D10" s="13"/>
      <c r="E10" s="13"/>
      <c r="F10" s="23"/>
      <c r="G10" s="24"/>
      <c r="H10" s="25"/>
      <c r="I10" s="24"/>
      <c r="J10" s="26"/>
      <c r="K10" s="26"/>
      <c r="L10" s="26"/>
      <c r="M10" s="25"/>
      <c r="N10" s="23"/>
      <c r="O10" s="23"/>
      <c r="P10" s="23"/>
      <c r="Q10" s="23"/>
      <c r="R10" s="23"/>
    </row>
    <row r="11" ht="9.75" customHeight="1">
      <c r="A11" s="11" t="s">
        <v>14</v>
      </c>
      <c r="B11" s="12" t="str">
        <f t="array" ref="B11:E11">SORT('L3'!D1:G1)</f>
        <v>VERA LUCIA BARBOSA</v>
      </c>
      <c r="C11" s="13"/>
      <c r="D11" s="13"/>
      <c r="E11" s="13"/>
      <c r="F11" s="14">
        <f t="array" ref="F11">SORT('L3'!I1)</f>
        <v>63</v>
      </c>
      <c r="G11" s="15" t="str">
        <f t="array" ref="G11:H11">SORT('L3'!L29:M29)</f>
        <v>JEJUM</v>
      </c>
      <c r="H11" s="16"/>
      <c r="I11" s="17" t="str">
        <f t="array" ref="I11:L14">SORT('L3'!N31:Q34)</f>
        <v>OBS: </v>
      </c>
      <c r="J11" s="18"/>
      <c r="K11" s="18"/>
      <c r="L11" s="18"/>
      <c r="M11" s="16"/>
      <c r="N11" s="14" t="str">
        <f t="array" ref="N11">SORT('L3'!O30)</f>
        <v/>
      </c>
      <c r="O11" s="14" t="str">
        <f t="array" ref="O11">SORT('L3'!Q30)</f>
        <v>800 DIA</v>
      </c>
      <c r="P11" s="14">
        <f t="array" ref="P11">SORT('L3'!Q29)</f>
        <v>70</v>
      </c>
      <c r="Q11" s="28">
        <f t="array" ref="Q11">SORT('L3'!D2)</f>
        <v>46008</v>
      </c>
      <c r="R11" s="11">
        <f t="array" ref="R11">SORT('L3'!B1)</f>
        <v>202183</v>
      </c>
    </row>
    <row r="12" ht="9.75" customHeight="1">
      <c r="A12" s="20"/>
      <c r="B12" s="20"/>
      <c r="C12" s="13"/>
      <c r="D12" s="13"/>
      <c r="E12" s="13"/>
      <c r="F12" s="20"/>
      <c r="G12" s="21"/>
      <c r="H12" s="22"/>
      <c r="I12" s="21"/>
      <c r="M12" s="22"/>
      <c r="N12" s="20"/>
      <c r="O12" s="20"/>
      <c r="P12" s="20"/>
      <c r="Q12" s="20"/>
      <c r="R12" s="20"/>
    </row>
    <row r="13" ht="9.75" customHeight="1">
      <c r="A13" s="20"/>
      <c r="B13" s="20"/>
      <c r="C13" s="13"/>
      <c r="D13" s="13"/>
      <c r="E13" s="13"/>
      <c r="F13" s="20"/>
      <c r="G13" s="21"/>
      <c r="H13" s="22"/>
      <c r="I13" s="21"/>
      <c r="M13" s="22"/>
      <c r="N13" s="20"/>
      <c r="O13" s="20"/>
      <c r="P13" s="20"/>
      <c r="Q13" s="20"/>
      <c r="R13" s="20"/>
    </row>
    <row r="14" ht="9.75" customHeight="1">
      <c r="A14" s="23"/>
      <c r="B14" s="23"/>
      <c r="C14" s="13"/>
      <c r="D14" s="13"/>
      <c r="E14" s="13"/>
      <c r="F14" s="23"/>
      <c r="G14" s="24"/>
      <c r="H14" s="25"/>
      <c r="I14" s="24"/>
      <c r="J14" s="26"/>
      <c r="K14" s="26"/>
      <c r="L14" s="26"/>
      <c r="M14" s="25"/>
      <c r="N14" s="23"/>
      <c r="O14" s="23"/>
      <c r="P14" s="23"/>
      <c r="Q14" s="23"/>
      <c r="R14" s="23"/>
    </row>
    <row r="15" ht="9.75" customHeight="1">
      <c r="A15" s="11" t="s">
        <v>15</v>
      </c>
      <c r="B15" s="12" t="str">
        <f t="array" ref="B15:E15">SORT('L4'!D1:G1)</f>
        <v>LUIZ FERNANDO SIRQUEIRA</v>
      </c>
      <c r="C15" s="13"/>
      <c r="D15" s="13"/>
      <c r="E15" s="13"/>
      <c r="F15" s="14">
        <f t="array" ref="F15">SORT('L4'!I1)</f>
        <v>47</v>
      </c>
      <c r="G15" s="15" t="str">
        <f t="array" ref="G15:H15">SORT('L4'!L29:M29)</f>
        <v>JEJUM</v>
      </c>
      <c r="H15" s="16"/>
      <c r="I15" s="17" t="str">
        <f t="array" ref="I15:L18">SORT('L4'!N31:Q34)</f>
        <v>ALMOÇO/JANTAR: SOPA COADA </v>
      </c>
      <c r="J15" s="18"/>
      <c r="K15" s="18"/>
      <c r="L15" s="18"/>
      <c r="M15" s="16"/>
      <c r="N15" s="14" t="str">
        <f t="array" ref="N15">SORT('L4'!O30)</f>
        <v>LIQUIDA</v>
      </c>
      <c r="O15" s="14" t="str">
        <f t="array" ref="O15">SORT('L4'!Q30)</f>
        <v>RH</v>
      </c>
      <c r="P15" s="14">
        <f t="array" ref="P15">SORT('L4'!Q29)</f>
        <v>80</v>
      </c>
      <c r="Q15" s="29">
        <f t="array" ref="Q15">SORT('L4'!D2)</f>
        <v>46005</v>
      </c>
      <c r="R15" s="11">
        <f t="array" ref="R15">SORT('L4'!B1)</f>
        <v>578852</v>
      </c>
    </row>
    <row r="16" ht="9.75" customHeight="1">
      <c r="A16" s="20"/>
      <c r="B16" s="20"/>
      <c r="C16" s="13"/>
      <c r="D16" s="13"/>
      <c r="E16" s="13"/>
      <c r="F16" s="20"/>
      <c r="G16" s="21"/>
      <c r="H16" s="22"/>
      <c r="I16" s="21"/>
      <c r="M16" s="22"/>
      <c r="N16" s="20"/>
      <c r="O16" s="20"/>
      <c r="P16" s="20"/>
      <c r="Q16" s="20"/>
      <c r="R16" s="20"/>
    </row>
    <row r="17" ht="9.75" customHeight="1">
      <c r="A17" s="20"/>
      <c r="B17" s="20"/>
      <c r="C17" s="13"/>
      <c r="D17" s="13"/>
      <c r="E17" s="13"/>
      <c r="F17" s="20"/>
      <c r="G17" s="21"/>
      <c r="H17" s="22"/>
      <c r="I17" s="21"/>
      <c r="M17" s="22"/>
      <c r="N17" s="20"/>
      <c r="O17" s="20"/>
      <c r="P17" s="20"/>
      <c r="Q17" s="20"/>
      <c r="R17" s="20"/>
    </row>
    <row r="18" ht="9.75" customHeight="1">
      <c r="A18" s="23"/>
      <c r="B18" s="23"/>
      <c r="C18" s="13"/>
      <c r="D18" s="13"/>
      <c r="E18" s="13"/>
      <c r="F18" s="23"/>
      <c r="G18" s="24"/>
      <c r="H18" s="25"/>
      <c r="I18" s="24"/>
      <c r="J18" s="26"/>
      <c r="K18" s="26"/>
      <c r="L18" s="26"/>
      <c r="M18" s="25"/>
      <c r="N18" s="23"/>
      <c r="O18" s="23"/>
      <c r="P18" s="23"/>
      <c r="Q18" s="23"/>
      <c r="R18" s="23"/>
    </row>
    <row r="19" ht="9.75" customHeight="1">
      <c r="A19" s="11" t="s">
        <v>16</v>
      </c>
      <c r="B19" s="12"/>
      <c r="C19" s="13"/>
      <c r="D19" s="13"/>
      <c r="E19" s="13"/>
      <c r="F19" s="14"/>
      <c r="G19" s="30"/>
      <c r="H19" s="16"/>
      <c r="I19" s="17"/>
      <c r="J19" s="18"/>
      <c r="K19" s="18"/>
      <c r="L19" s="18"/>
      <c r="M19" s="16"/>
      <c r="N19" s="14"/>
      <c r="O19" s="14"/>
      <c r="P19" s="14"/>
      <c r="Q19" s="14"/>
      <c r="R19" s="14"/>
    </row>
    <row r="20" ht="9.75" customHeight="1">
      <c r="A20" s="20"/>
      <c r="B20" s="20"/>
      <c r="C20" s="13"/>
      <c r="D20" s="13"/>
      <c r="E20" s="13"/>
      <c r="F20" s="20"/>
      <c r="G20" s="21"/>
      <c r="H20" s="22"/>
      <c r="I20" s="21"/>
      <c r="M20" s="22"/>
      <c r="N20" s="20"/>
      <c r="O20" s="20"/>
      <c r="P20" s="20"/>
      <c r="Q20" s="20"/>
      <c r="R20" s="20"/>
    </row>
    <row r="21" ht="9.75" customHeight="1">
      <c r="A21" s="20"/>
      <c r="B21" s="20"/>
      <c r="C21" s="13"/>
      <c r="D21" s="13"/>
      <c r="E21" s="13"/>
      <c r="F21" s="20"/>
      <c r="G21" s="21"/>
      <c r="H21" s="22"/>
      <c r="I21" s="21"/>
      <c r="M21" s="22"/>
      <c r="N21" s="20"/>
      <c r="O21" s="20"/>
      <c r="P21" s="20"/>
      <c r="Q21" s="20"/>
      <c r="R21" s="20"/>
    </row>
    <row r="22" ht="9.75" customHeight="1">
      <c r="A22" s="23"/>
      <c r="B22" s="23"/>
      <c r="C22" s="13"/>
      <c r="D22" s="13"/>
      <c r="E22" s="13"/>
      <c r="F22" s="23"/>
      <c r="G22" s="24"/>
      <c r="H22" s="25"/>
      <c r="I22" s="24"/>
      <c r="J22" s="26"/>
      <c r="K22" s="26"/>
      <c r="L22" s="26"/>
      <c r="M22" s="25"/>
      <c r="N22" s="23"/>
      <c r="O22" s="23"/>
      <c r="P22" s="23"/>
      <c r="Q22" s="23"/>
      <c r="R22" s="23"/>
    </row>
    <row r="23" ht="9.75" customHeight="1">
      <c r="A23" s="11" t="s">
        <v>17</v>
      </c>
      <c r="B23" s="12" t="str">
        <f t="array" ref="B23:E23">SORT('L6'!D1:G1)</f>
        <v/>
      </c>
      <c r="C23" s="13"/>
      <c r="D23" s="13"/>
      <c r="E23" s="13"/>
      <c r="F23" s="14" t="str">
        <f t="array" ref="F23">SORT('L6'!I1)</f>
        <v/>
      </c>
      <c r="G23" s="15" t="str">
        <f t="array" ref="G23:H23">SORT('L6'!L29:M29)</f>
        <v/>
      </c>
      <c r="H23" s="16"/>
      <c r="I23" s="17"/>
      <c r="J23" s="18"/>
      <c r="K23" s="18"/>
      <c r="L23" s="18"/>
      <c r="M23" s="16"/>
      <c r="N23" s="14" t="str">
        <f t="array" ref="N23">SORT('L6'!O30)</f>
        <v/>
      </c>
      <c r="O23" s="14" t="str">
        <f t="array" ref="O23">SORT('L6'!Q30)</f>
        <v/>
      </c>
      <c r="P23" s="14" t="str">
        <f t="array" ref="P23">SORT('L6'!Q29)</f>
        <v/>
      </c>
      <c r="Q23" s="14"/>
      <c r="R23" s="14" t="str">
        <f t="array" ref="R23">SORT('L6'!B1)</f>
        <v/>
      </c>
    </row>
    <row r="24" ht="9.75" customHeight="1">
      <c r="A24" s="20"/>
      <c r="B24" s="20"/>
      <c r="C24" s="13"/>
      <c r="D24" s="13"/>
      <c r="E24" s="13"/>
      <c r="F24" s="20"/>
      <c r="G24" s="21"/>
      <c r="H24" s="22"/>
      <c r="I24" s="21"/>
      <c r="M24" s="22"/>
      <c r="N24" s="20"/>
      <c r="O24" s="20"/>
      <c r="P24" s="20"/>
      <c r="Q24" s="20"/>
      <c r="R24" s="20"/>
    </row>
    <row r="25" ht="9.75" customHeight="1">
      <c r="A25" s="20"/>
      <c r="B25" s="20"/>
      <c r="C25" s="13"/>
      <c r="D25" s="13"/>
      <c r="E25" s="13"/>
      <c r="F25" s="20"/>
      <c r="G25" s="21"/>
      <c r="H25" s="22"/>
      <c r="I25" s="21"/>
      <c r="M25" s="22"/>
      <c r="N25" s="20"/>
      <c r="O25" s="20"/>
      <c r="P25" s="20"/>
      <c r="Q25" s="20"/>
      <c r="R25" s="20"/>
    </row>
    <row r="26" ht="9.75" customHeight="1">
      <c r="A26" s="23"/>
      <c r="B26" s="23"/>
      <c r="C26" s="13"/>
      <c r="D26" s="13"/>
      <c r="E26" s="13"/>
      <c r="F26" s="23"/>
      <c r="G26" s="24"/>
      <c r="H26" s="25"/>
      <c r="I26" s="24"/>
      <c r="J26" s="26"/>
      <c r="K26" s="26"/>
      <c r="L26" s="26"/>
      <c r="M26" s="25"/>
      <c r="N26" s="23"/>
      <c r="O26" s="23"/>
      <c r="P26" s="23"/>
      <c r="Q26" s="23"/>
      <c r="R26" s="23"/>
    </row>
    <row r="27" ht="9.75" customHeight="1">
      <c r="A27" s="11" t="s">
        <v>18</v>
      </c>
      <c r="B27" s="31" t="s">
        <v>19</v>
      </c>
      <c r="C27" s="13"/>
      <c r="D27" s="13"/>
      <c r="E27" s="13"/>
      <c r="F27" s="11">
        <v>76.0</v>
      </c>
      <c r="G27" s="32" t="s">
        <v>20</v>
      </c>
      <c r="H27" s="16"/>
      <c r="I27" s="17"/>
      <c r="J27" s="18"/>
      <c r="K27" s="18"/>
      <c r="L27" s="18"/>
      <c r="M27" s="16"/>
      <c r="N27" s="14"/>
      <c r="O27" s="33">
        <v>1500.0</v>
      </c>
      <c r="P27" s="14"/>
      <c r="Q27" s="34">
        <v>46008.0</v>
      </c>
      <c r="R27" s="35">
        <v>211305.0</v>
      </c>
    </row>
    <row r="28" ht="9.75" customHeight="1">
      <c r="A28" s="20"/>
      <c r="B28" s="20"/>
      <c r="C28" s="13"/>
      <c r="D28" s="13"/>
      <c r="E28" s="13"/>
      <c r="F28" s="20"/>
      <c r="G28" s="21"/>
      <c r="H28" s="22"/>
      <c r="I28" s="21"/>
      <c r="M28" s="22"/>
      <c r="N28" s="20"/>
      <c r="O28" s="20"/>
      <c r="P28" s="20"/>
      <c r="Q28" s="20"/>
      <c r="R28" s="20"/>
    </row>
    <row r="29" ht="9.75" customHeight="1">
      <c r="A29" s="20"/>
      <c r="B29" s="20"/>
      <c r="C29" s="13"/>
      <c r="D29" s="13"/>
      <c r="E29" s="13"/>
      <c r="F29" s="20"/>
      <c r="G29" s="21"/>
      <c r="H29" s="22"/>
      <c r="I29" s="21"/>
      <c r="M29" s="22"/>
      <c r="N29" s="20"/>
      <c r="O29" s="20"/>
      <c r="P29" s="20"/>
      <c r="Q29" s="20"/>
      <c r="R29" s="20"/>
    </row>
    <row r="30" ht="9.75" customHeight="1">
      <c r="A30" s="23"/>
      <c r="B30" s="23"/>
      <c r="C30" s="13"/>
      <c r="D30" s="13"/>
      <c r="E30" s="13"/>
      <c r="F30" s="23"/>
      <c r="G30" s="24"/>
      <c r="H30" s="25"/>
      <c r="I30" s="24"/>
      <c r="J30" s="26"/>
      <c r="K30" s="26"/>
      <c r="L30" s="26"/>
      <c r="M30" s="25"/>
      <c r="N30" s="23"/>
      <c r="O30" s="23"/>
      <c r="P30" s="23"/>
      <c r="Q30" s="23"/>
      <c r="R30" s="23"/>
    </row>
    <row r="31" ht="9.75" customHeight="1">
      <c r="A31" s="11" t="s">
        <v>21</v>
      </c>
      <c r="B31" s="12" t="str">
        <f t="array" ref="B31:E31">SORT('L8'!D1:G1)</f>
        <v>ELIZABETI GONÇALVES BRAGA</v>
      </c>
      <c r="C31" s="13"/>
      <c r="D31" s="13"/>
      <c r="E31" s="13"/>
      <c r="F31" s="14">
        <f t="array" ref="F31">SORT('L8'!I1)</f>
        <v>61</v>
      </c>
      <c r="G31" s="15" t="str">
        <f t="array" ref="G31:H31">SORT('L8'!L29:M29)</f>
        <v>DIBEN</v>
      </c>
      <c r="H31" s="16"/>
      <c r="I31" s="17" t="str">
        <f t="array" ref="I31:L34">SORT('L8'!N31:Q34)</f>
        <v>OBS: LIBERADO DIETA. SUPLEMENTAÇÃO HIPERPROTEICA</v>
      </c>
      <c r="J31" s="18"/>
      <c r="K31" s="18"/>
      <c r="L31" s="18"/>
      <c r="M31" s="16"/>
      <c r="N31" s="14" t="str">
        <f t="array" ref="N31">SORT('L8'!O30)</f>
        <v>75 ML/H</v>
      </c>
      <c r="O31" s="14" t="str">
        <f t="array" ref="O31">SORT('L8'!Q30)</f>
        <v>RH</v>
      </c>
      <c r="P31" s="14">
        <f t="array" ref="P31">SORT('L8'!Q29)</f>
        <v>131</v>
      </c>
      <c r="Q31" s="27">
        <f t="array" ref="Q31">SORT('L8'!D2)</f>
        <v>46000.54167</v>
      </c>
      <c r="R31" s="14">
        <f t="array" ref="R31">SORT('L8'!B1)</f>
        <v>577523</v>
      </c>
    </row>
    <row r="32" ht="9.75" customHeight="1">
      <c r="A32" s="20"/>
      <c r="B32" s="20"/>
      <c r="C32" s="13"/>
      <c r="D32" s="13"/>
      <c r="E32" s="13"/>
      <c r="F32" s="20"/>
      <c r="G32" s="21"/>
      <c r="H32" s="22"/>
      <c r="I32" s="21"/>
      <c r="M32" s="22"/>
      <c r="N32" s="20"/>
      <c r="O32" s="20"/>
      <c r="P32" s="20"/>
      <c r="Q32" s="20"/>
      <c r="R32" s="20"/>
    </row>
    <row r="33" ht="9.75" customHeight="1">
      <c r="A33" s="20"/>
      <c r="B33" s="20"/>
      <c r="C33" s="13"/>
      <c r="D33" s="13"/>
      <c r="E33" s="13"/>
      <c r="F33" s="20"/>
      <c r="G33" s="21"/>
      <c r="H33" s="22"/>
      <c r="I33" s="21"/>
      <c r="M33" s="22"/>
      <c r="N33" s="20"/>
      <c r="O33" s="20"/>
      <c r="P33" s="20"/>
      <c r="Q33" s="20"/>
      <c r="R33" s="20"/>
    </row>
    <row r="34" ht="9.75" customHeight="1">
      <c r="A34" s="23"/>
      <c r="B34" s="23"/>
      <c r="C34" s="13"/>
      <c r="D34" s="13"/>
      <c r="E34" s="13"/>
      <c r="F34" s="23"/>
      <c r="G34" s="24"/>
      <c r="H34" s="25"/>
      <c r="I34" s="24"/>
      <c r="J34" s="26"/>
      <c r="K34" s="26"/>
      <c r="L34" s="26"/>
      <c r="M34" s="25"/>
      <c r="N34" s="23"/>
      <c r="O34" s="23"/>
      <c r="P34" s="23"/>
      <c r="Q34" s="23"/>
      <c r="R34" s="23"/>
    </row>
    <row r="35" ht="9.75" customHeight="1">
      <c r="A35" s="11" t="s">
        <v>22</v>
      </c>
      <c r="B35" s="12" t="str">
        <f t="array" ref="B35:E35">SORT('L9'!D1:G1)</f>
        <v>ANTONIO CARLOS CASSIMIRA</v>
      </c>
      <c r="C35" s="13"/>
      <c r="D35" s="13"/>
      <c r="E35" s="13"/>
      <c r="F35" s="14">
        <f t="array" ref="F35">SORT('L9'!I1)</f>
        <v>58</v>
      </c>
      <c r="G35" s="15" t="str">
        <f t="array" ref="G35:H35">SORT('L9'!L29:M29)</f>
        <v>HP ENERGI</v>
      </c>
      <c r="H35" s="16"/>
      <c r="I35" s="17" t="str">
        <f t="array" ref="I35:L38">SORT('L9'!N31:Q34)</f>
        <v>OBS: 1,73 ALTURA</v>
      </c>
      <c r="J35" s="18"/>
      <c r="K35" s="18"/>
      <c r="L35" s="18"/>
      <c r="M35" s="16"/>
      <c r="N35" s="14" t="str">
        <f t="array" ref="N35">SORT('L9'!O30)</f>
        <v>55ML/H</v>
      </c>
      <c r="O35" s="14" t="str">
        <f t="array" ref="O35">SORT('L9'!Q30)</f>
        <v>RH</v>
      </c>
      <c r="P35" s="14">
        <f t="array" ref="P35">SORT('L9'!Q29)</f>
        <v>81.7</v>
      </c>
      <c r="Q35" s="14" t="str">
        <f t="array" ref="Q35">SORT('L9'!D2)</f>
        <v>16/12 AS</v>
      </c>
      <c r="R35" s="14">
        <f t="array" ref="R35">SORT('L9'!B1)</f>
        <v>579000</v>
      </c>
    </row>
    <row r="36" ht="9.75" customHeight="1">
      <c r="A36" s="20"/>
      <c r="B36" s="20"/>
      <c r="C36" s="13"/>
      <c r="D36" s="13"/>
      <c r="E36" s="13"/>
      <c r="F36" s="20"/>
      <c r="G36" s="21"/>
      <c r="H36" s="22"/>
      <c r="I36" s="21"/>
      <c r="M36" s="22"/>
      <c r="N36" s="20"/>
      <c r="O36" s="20"/>
      <c r="P36" s="20"/>
      <c r="Q36" s="20"/>
      <c r="R36" s="20"/>
    </row>
    <row r="37" ht="9.75" customHeight="1">
      <c r="A37" s="20"/>
      <c r="B37" s="20"/>
      <c r="C37" s="13"/>
      <c r="D37" s="13"/>
      <c r="E37" s="13"/>
      <c r="F37" s="20"/>
      <c r="G37" s="21"/>
      <c r="H37" s="22"/>
      <c r="I37" s="21"/>
      <c r="M37" s="22"/>
      <c r="N37" s="20"/>
      <c r="O37" s="20"/>
      <c r="P37" s="20"/>
      <c r="Q37" s="20"/>
      <c r="R37" s="20"/>
    </row>
    <row r="38" ht="9.75" customHeight="1">
      <c r="A38" s="23"/>
      <c r="B38" s="23"/>
      <c r="C38" s="13"/>
      <c r="D38" s="13"/>
      <c r="E38" s="13"/>
      <c r="F38" s="23"/>
      <c r="G38" s="24"/>
      <c r="H38" s="25"/>
      <c r="I38" s="24"/>
      <c r="J38" s="26"/>
      <c r="K38" s="26"/>
      <c r="L38" s="26"/>
      <c r="M38" s="25"/>
      <c r="N38" s="23"/>
      <c r="O38" s="23"/>
      <c r="P38" s="23"/>
      <c r="Q38" s="23"/>
      <c r="R38" s="23"/>
    </row>
    <row r="39" ht="46.5" customHeight="1">
      <c r="A39" s="36" t="s">
        <v>23</v>
      </c>
      <c r="B39" s="37" t="str">
        <f t="array" ref="B39:E39">SORT('L10'!D1:G1)</f>
        <v>VANESSA APARECIDA RODRIGUES DOS SANTOS</v>
      </c>
      <c r="C39" s="13"/>
      <c r="D39" s="13"/>
      <c r="E39" s="13"/>
      <c r="F39" s="13">
        <f t="array" ref="F39">SORT('L10'!I1)</f>
        <v>36</v>
      </c>
      <c r="G39" s="38" t="str">
        <f t="array" ref="G39:H39">SORT('L10'!L29:M29)</f>
        <v>JEJUM</v>
      </c>
      <c r="H39" s="3"/>
      <c r="I39" s="39" t="str">
        <f t="array" ref="I39:L42">SORT('L10'!N31:Q34)</f>
        <v>OBS: 1,62 ALTURA</v>
      </c>
      <c r="J39" s="2"/>
      <c r="K39" s="2"/>
      <c r="L39" s="2"/>
      <c r="M39" s="3"/>
      <c r="N39" s="13" t="str">
        <f t="array" ref="N39">SORT('L10'!O30)</f>
        <v>***</v>
      </c>
      <c r="O39" s="13" t="str">
        <f t="array" ref="O39">SORT('L10'!Q30)</f>
        <v>RH</v>
      </c>
      <c r="P39" s="13">
        <f t="array" ref="P39">SORT('L10'!Q29)</f>
        <v>60</v>
      </c>
      <c r="Q39" s="40">
        <f t="array" ref="Q39">SORT('L10'!D2)</f>
        <v>46007</v>
      </c>
      <c r="R39" s="13">
        <f t="array" ref="R39">SORT('L10'!B1)</f>
        <v>46032</v>
      </c>
    </row>
    <row r="40">
      <c r="A40" s="41"/>
      <c r="B40" s="42"/>
      <c r="C40" s="41"/>
      <c r="D40" s="41"/>
      <c r="E40" s="41"/>
      <c r="F40" s="41"/>
      <c r="G40" s="41"/>
      <c r="H40" s="41"/>
      <c r="I40" s="42"/>
      <c r="J40" s="42"/>
      <c r="K40" s="42"/>
      <c r="L40" s="42"/>
      <c r="M40" s="42"/>
      <c r="N40" s="41"/>
      <c r="O40" s="41"/>
      <c r="P40" s="41"/>
      <c r="Q40" s="41"/>
      <c r="R40" s="41"/>
    </row>
  </sheetData>
  <mergeCells count="96">
    <mergeCell ref="P15:P18"/>
    <mergeCell ref="Q15:Q18"/>
    <mergeCell ref="R15:R18"/>
    <mergeCell ref="A15:A18"/>
    <mergeCell ref="B15:B18"/>
    <mergeCell ref="F15:F18"/>
    <mergeCell ref="G15:H18"/>
    <mergeCell ref="I15:M18"/>
    <mergeCell ref="N15:N18"/>
    <mergeCell ref="O15:O18"/>
    <mergeCell ref="P19:P22"/>
    <mergeCell ref="Q19:Q22"/>
    <mergeCell ref="R19:R22"/>
    <mergeCell ref="A19:A22"/>
    <mergeCell ref="B19:B22"/>
    <mergeCell ref="F19:F22"/>
    <mergeCell ref="G19:H22"/>
    <mergeCell ref="I19:M22"/>
    <mergeCell ref="N19:N22"/>
    <mergeCell ref="O19:O22"/>
    <mergeCell ref="P23:P26"/>
    <mergeCell ref="Q23:Q26"/>
    <mergeCell ref="R23:R26"/>
    <mergeCell ref="A23:A26"/>
    <mergeCell ref="B23:B26"/>
    <mergeCell ref="F23:F26"/>
    <mergeCell ref="G23:H26"/>
    <mergeCell ref="I23:M26"/>
    <mergeCell ref="N23:N26"/>
    <mergeCell ref="O23:O26"/>
    <mergeCell ref="P27:P30"/>
    <mergeCell ref="Q27:Q30"/>
    <mergeCell ref="R27:R30"/>
    <mergeCell ref="A27:A30"/>
    <mergeCell ref="B27:B30"/>
    <mergeCell ref="F27:F30"/>
    <mergeCell ref="G27:H30"/>
    <mergeCell ref="I27:M30"/>
    <mergeCell ref="N27:N30"/>
    <mergeCell ref="O27:O30"/>
    <mergeCell ref="P31:P34"/>
    <mergeCell ref="Q31:Q34"/>
    <mergeCell ref="R31:R34"/>
    <mergeCell ref="A31:A34"/>
    <mergeCell ref="B31:B34"/>
    <mergeCell ref="F31:F34"/>
    <mergeCell ref="G31:H34"/>
    <mergeCell ref="I31:M34"/>
    <mergeCell ref="N31:N34"/>
    <mergeCell ref="O31:O34"/>
    <mergeCell ref="P35:P38"/>
    <mergeCell ref="Q35:Q38"/>
    <mergeCell ref="R35:R38"/>
    <mergeCell ref="A35:A38"/>
    <mergeCell ref="B35:B38"/>
    <mergeCell ref="F35:F38"/>
    <mergeCell ref="G35:H38"/>
    <mergeCell ref="I35:M38"/>
    <mergeCell ref="N35:N38"/>
    <mergeCell ref="O35:O38"/>
    <mergeCell ref="G3:H6"/>
    <mergeCell ref="I3:M6"/>
    <mergeCell ref="I7:M10"/>
    <mergeCell ref="N3:N6"/>
    <mergeCell ref="O3:O6"/>
    <mergeCell ref="N7:N10"/>
    <mergeCell ref="O7:O10"/>
    <mergeCell ref="P3:P6"/>
    <mergeCell ref="Q3:Q6"/>
    <mergeCell ref="P7:P10"/>
    <mergeCell ref="Q7:Q10"/>
    <mergeCell ref="R7:R10"/>
    <mergeCell ref="A1:O1"/>
    <mergeCell ref="Q1:R1"/>
    <mergeCell ref="G2:H2"/>
    <mergeCell ref="I2:M2"/>
    <mergeCell ref="B3:B6"/>
    <mergeCell ref="F3:F6"/>
    <mergeCell ref="R3:R6"/>
    <mergeCell ref="F11:F14"/>
    <mergeCell ref="G11:H14"/>
    <mergeCell ref="I11:M14"/>
    <mergeCell ref="N11:N14"/>
    <mergeCell ref="O11:O14"/>
    <mergeCell ref="P11:P14"/>
    <mergeCell ref="Q11:Q14"/>
    <mergeCell ref="R11:R14"/>
    <mergeCell ref="A3:A6"/>
    <mergeCell ref="A7:A10"/>
    <mergeCell ref="B7:B10"/>
    <mergeCell ref="F7:F10"/>
    <mergeCell ref="G7:H10"/>
    <mergeCell ref="A11:A14"/>
    <mergeCell ref="B11:B14"/>
    <mergeCell ref="G39:H39"/>
    <mergeCell ref="I39:M39"/>
  </mergeCells>
  <printOptions gridLines="1" horizontalCentered="1"/>
  <pageMargins bottom="0.14871749934278886" footer="0.0" header="0.0" left="0.18589687417848605" right="0.18589687417848605" top="0.1858968741784860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9.88"/>
    <col customWidth="1" min="3" max="3" width="10.38"/>
    <col customWidth="1" min="4" max="4" width="8.88"/>
    <col customWidth="1" min="5" max="5" width="7.0"/>
    <col customWidth="1" min="6" max="6" width="9.63"/>
    <col customWidth="1" min="7" max="7" width="8.63"/>
    <col customWidth="1" min="8" max="10" width="8.88"/>
    <col customWidth="1" min="11" max="11" width="19.5"/>
    <col customWidth="1" min="12" max="12" width="9.75"/>
    <col customWidth="1" min="13" max="13" width="8.13"/>
    <col customWidth="1" min="14" max="14" width="7.0"/>
    <col customWidth="1" min="15" max="15" width="13.13"/>
    <col customWidth="1" min="16" max="16" width="6.0"/>
    <col customWidth="1" min="17" max="17" width="9.25"/>
    <col customWidth="1" min="18" max="18" width="25.63"/>
  </cols>
  <sheetData>
    <row r="1" ht="12.75" customHeight="1">
      <c r="A1" s="43" t="s">
        <v>24</v>
      </c>
      <c r="B1" s="44">
        <v>64111.0</v>
      </c>
      <c r="C1" s="45" t="s">
        <v>25</v>
      </c>
      <c r="D1" s="46" t="s">
        <v>26</v>
      </c>
      <c r="E1" s="47"/>
      <c r="F1" s="47"/>
      <c r="G1" s="48"/>
      <c r="H1" s="49" t="s">
        <v>4</v>
      </c>
      <c r="I1" s="50">
        <v>73.0</v>
      </c>
      <c r="J1" s="51" t="s">
        <v>27</v>
      </c>
      <c r="K1" s="52"/>
      <c r="L1" s="53" t="s">
        <v>28</v>
      </c>
      <c r="M1" s="54" t="s">
        <v>29</v>
      </c>
      <c r="N1" s="55"/>
      <c r="O1" s="55"/>
      <c r="P1" s="55"/>
      <c r="Q1" s="56"/>
      <c r="R1" s="57" t="s">
        <v>30</v>
      </c>
    </row>
    <row r="2" ht="32.25" customHeight="1">
      <c r="A2" s="58" t="s">
        <v>31</v>
      </c>
      <c r="B2" s="59">
        <v>45988.0</v>
      </c>
      <c r="C2" s="60" t="s">
        <v>32</v>
      </c>
      <c r="D2" s="61">
        <v>45992.020833333336</v>
      </c>
      <c r="E2" s="62" t="s">
        <v>33</v>
      </c>
      <c r="F2" s="63">
        <v>14.0</v>
      </c>
      <c r="G2" s="64" t="s">
        <v>34</v>
      </c>
      <c r="H2" s="65">
        <f>(D2+F2)-O2</f>
        <v>46006.02083</v>
      </c>
      <c r="I2" s="66"/>
      <c r="J2" s="67"/>
      <c r="K2" s="67"/>
      <c r="L2" s="67"/>
      <c r="M2" s="68"/>
      <c r="N2" s="69"/>
      <c r="O2" s="69"/>
      <c r="P2" s="69"/>
      <c r="Q2" s="70"/>
      <c r="R2" s="71">
        <v>1.0</v>
      </c>
    </row>
    <row r="3" ht="36.0" customHeight="1">
      <c r="A3" s="72" t="s">
        <v>35</v>
      </c>
      <c r="B3" s="73" t="s">
        <v>36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66"/>
      <c r="R3" s="75" t="s">
        <v>37</v>
      </c>
    </row>
    <row r="4" ht="30.75" customHeight="1">
      <c r="A4" s="72" t="s">
        <v>38</v>
      </c>
      <c r="B4" s="73" t="s">
        <v>39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66"/>
      <c r="R4" s="76">
        <f>TODAY()</f>
        <v>46009</v>
      </c>
    </row>
    <row r="5" ht="12.75" customHeight="1">
      <c r="A5" s="77" t="s">
        <v>40</v>
      </c>
      <c r="B5" s="78" t="s">
        <v>41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80"/>
      <c r="R5" s="81"/>
    </row>
    <row r="6" ht="12.75" customHeight="1">
      <c r="A6" s="82" t="s">
        <v>42</v>
      </c>
      <c r="B6" s="83"/>
      <c r="C6" s="82" t="s">
        <v>43</v>
      </c>
      <c r="D6" s="84"/>
      <c r="E6" s="84"/>
      <c r="F6" s="84"/>
      <c r="G6" s="84"/>
      <c r="H6" s="84"/>
      <c r="I6" s="84"/>
      <c r="J6" s="83"/>
      <c r="K6" s="85" t="s">
        <v>44</v>
      </c>
      <c r="L6" s="55"/>
      <c r="M6" s="55"/>
      <c r="N6" s="55"/>
      <c r="O6" s="55"/>
      <c r="P6" s="55"/>
      <c r="Q6" s="56"/>
      <c r="R6" s="86" t="s">
        <v>45</v>
      </c>
    </row>
    <row r="7" ht="12.75" customHeight="1">
      <c r="A7" s="87" t="s">
        <v>46</v>
      </c>
      <c r="B7" s="88"/>
      <c r="C7" s="89" t="s">
        <v>47</v>
      </c>
      <c r="D7" s="69"/>
      <c r="E7" s="69"/>
      <c r="F7" s="69"/>
      <c r="G7" s="69"/>
      <c r="H7" s="69"/>
      <c r="I7" s="69"/>
      <c r="J7" s="90"/>
      <c r="K7" s="91" t="s">
        <v>48</v>
      </c>
      <c r="L7" s="92"/>
      <c r="M7" s="92"/>
      <c r="N7" s="92"/>
      <c r="O7" s="92"/>
      <c r="P7" s="92"/>
      <c r="Q7" s="92"/>
      <c r="R7" s="93"/>
    </row>
    <row r="8" ht="12.75" customHeight="1">
      <c r="A8" s="94"/>
      <c r="B8" s="90"/>
      <c r="C8" s="95" t="s">
        <v>49</v>
      </c>
      <c r="D8" s="79"/>
      <c r="E8" s="79"/>
      <c r="F8" s="79"/>
      <c r="G8" s="79"/>
      <c r="H8" s="79"/>
      <c r="I8" s="79"/>
      <c r="J8" s="96"/>
      <c r="K8" s="97" t="s">
        <v>50</v>
      </c>
      <c r="L8" s="98" t="s">
        <v>51</v>
      </c>
      <c r="M8" s="98" t="s">
        <v>52</v>
      </c>
      <c r="N8" s="99" t="s">
        <v>53</v>
      </c>
      <c r="O8" s="100" t="s">
        <v>54</v>
      </c>
      <c r="P8" s="101">
        <v>11.0</v>
      </c>
      <c r="Q8" s="70"/>
      <c r="R8" s="102" t="s">
        <v>55</v>
      </c>
    </row>
    <row r="9" ht="12.75" customHeight="1">
      <c r="A9" s="103" t="s">
        <v>56</v>
      </c>
      <c r="B9" s="96"/>
      <c r="J9" s="88"/>
      <c r="K9" s="104" t="s">
        <v>57</v>
      </c>
      <c r="L9" s="105">
        <v>0.0</v>
      </c>
      <c r="M9" s="106">
        <v>45972.0</v>
      </c>
      <c r="N9" s="107">
        <v>46006.0</v>
      </c>
      <c r="O9" s="108" t="s">
        <v>58</v>
      </c>
      <c r="P9" s="109"/>
      <c r="Q9" s="66"/>
      <c r="R9" s="110"/>
    </row>
    <row r="10" ht="12.75" customHeight="1">
      <c r="A10" s="111"/>
      <c r="B10" s="88"/>
      <c r="J10" s="88"/>
      <c r="K10" s="104"/>
      <c r="L10" s="112"/>
      <c r="M10" s="112"/>
      <c r="N10" s="113"/>
      <c r="O10" s="108" t="s">
        <v>59</v>
      </c>
      <c r="P10" s="109" t="s">
        <v>60</v>
      </c>
      <c r="Q10" s="66"/>
      <c r="R10" s="110"/>
    </row>
    <row r="11">
      <c r="A11" s="111"/>
      <c r="B11" s="88"/>
      <c r="J11" s="88"/>
      <c r="K11" s="104"/>
      <c r="L11" s="112"/>
      <c r="M11" s="112"/>
      <c r="N11" s="114"/>
      <c r="O11" s="115" t="s">
        <v>61</v>
      </c>
      <c r="P11" s="116" t="s">
        <v>62</v>
      </c>
      <c r="Q11" s="66"/>
      <c r="R11" s="110"/>
    </row>
    <row r="12">
      <c r="A12" s="111"/>
      <c r="B12" s="88"/>
      <c r="J12" s="88"/>
      <c r="K12" s="104"/>
      <c r="L12" s="112"/>
      <c r="M12" s="112"/>
      <c r="N12" s="113"/>
      <c r="O12" s="108" t="s">
        <v>63</v>
      </c>
      <c r="P12" s="116" t="s">
        <v>62</v>
      </c>
      <c r="Q12" s="66"/>
      <c r="R12" s="110"/>
    </row>
    <row r="13">
      <c r="A13" s="111"/>
      <c r="B13" s="88"/>
      <c r="C13" s="69"/>
      <c r="D13" s="69"/>
      <c r="E13" s="69"/>
      <c r="F13" s="69"/>
      <c r="G13" s="69"/>
      <c r="H13" s="69"/>
      <c r="I13" s="69"/>
      <c r="J13" s="90"/>
      <c r="K13" s="117"/>
      <c r="L13" s="118"/>
      <c r="M13" s="118"/>
      <c r="N13" s="119"/>
      <c r="O13" s="120" t="s">
        <v>64</v>
      </c>
      <c r="P13" s="121" t="s">
        <v>65</v>
      </c>
      <c r="Q13" s="80"/>
      <c r="R13" s="81"/>
    </row>
    <row r="14" ht="12.75" customHeight="1">
      <c r="A14" s="122" t="s">
        <v>66</v>
      </c>
      <c r="B14" s="123"/>
      <c r="C14" s="124" t="s">
        <v>67</v>
      </c>
      <c r="D14" s="47"/>
      <c r="E14" s="123"/>
      <c r="F14" s="124" t="s">
        <v>68</v>
      </c>
      <c r="G14" s="47"/>
      <c r="H14" s="123"/>
      <c r="I14" s="124" t="s">
        <v>69</v>
      </c>
      <c r="J14" s="123"/>
      <c r="K14" s="91" t="s">
        <v>70</v>
      </c>
      <c r="L14" s="92"/>
      <c r="M14" s="92"/>
      <c r="N14" s="92"/>
      <c r="O14" s="92"/>
      <c r="P14" s="92"/>
      <c r="Q14" s="92"/>
      <c r="R14" s="93"/>
    </row>
    <row r="15" ht="12.75" customHeight="1">
      <c r="A15" s="125" t="s">
        <v>71</v>
      </c>
      <c r="B15" s="126"/>
      <c r="C15" s="127" t="s">
        <v>72</v>
      </c>
      <c r="E15" s="128">
        <v>24.0</v>
      </c>
      <c r="F15" s="129" t="s">
        <v>37</v>
      </c>
      <c r="G15" s="130" t="s">
        <v>73</v>
      </c>
      <c r="H15" s="131" t="s">
        <v>74</v>
      </c>
      <c r="I15" s="132" t="s">
        <v>75</v>
      </c>
      <c r="J15" s="133">
        <v>778.0</v>
      </c>
      <c r="K15" s="97" t="s">
        <v>76</v>
      </c>
      <c r="L15" s="98" t="s">
        <v>51</v>
      </c>
      <c r="M15" s="98" t="s">
        <v>52</v>
      </c>
      <c r="N15" s="99" t="s">
        <v>53</v>
      </c>
      <c r="O15" s="134" t="s">
        <v>77</v>
      </c>
      <c r="P15" s="101">
        <v>78.0</v>
      </c>
      <c r="Q15" s="70"/>
      <c r="R15" s="102" t="s">
        <v>78</v>
      </c>
    </row>
    <row r="16" ht="12.75" customHeight="1">
      <c r="A16" s="135" t="s">
        <v>79</v>
      </c>
      <c r="B16" s="136" t="b">
        <v>0</v>
      </c>
      <c r="C16" s="137"/>
      <c r="D16" s="138" t="s">
        <v>80</v>
      </c>
      <c r="E16" s="138" t="s">
        <v>81</v>
      </c>
      <c r="F16" s="139"/>
      <c r="G16" s="112"/>
      <c r="H16" s="140"/>
      <c r="I16" s="141"/>
      <c r="J16" s="142"/>
      <c r="K16" s="104" t="s">
        <v>82</v>
      </c>
      <c r="L16" s="105">
        <v>2.0</v>
      </c>
      <c r="M16" s="106">
        <v>46004.0</v>
      </c>
      <c r="N16" s="107"/>
      <c r="O16" s="108" t="s">
        <v>83</v>
      </c>
      <c r="P16" s="109">
        <v>77.0</v>
      </c>
      <c r="Q16" s="66"/>
      <c r="R16" s="110"/>
    </row>
    <row r="17" ht="12.75" customHeight="1">
      <c r="A17" s="135" t="s">
        <v>84</v>
      </c>
      <c r="B17" s="136" t="b">
        <v>1</v>
      </c>
      <c r="C17" s="139" t="s">
        <v>85</v>
      </c>
      <c r="D17" s="143">
        <v>56.0</v>
      </c>
      <c r="E17" s="140">
        <v>106.0</v>
      </c>
      <c r="F17" s="139"/>
      <c r="G17" s="112"/>
      <c r="H17" s="140"/>
      <c r="I17" s="132" t="s">
        <v>86</v>
      </c>
      <c r="J17" s="144" t="s">
        <v>87</v>
      </c>
      <c r="K17" s="104" t="s">
        <v>88</v>
      </c>
      <c r="L17" s="105">
        <v>6.0</v>
      </c>
      <c r="M17" s="145">
        <v>46009.0</v>
      </c>
      <c r="N17" s="113"/>
      <c r="O17" s="108" t="s">
        <v>89</v>
      </c>
      <c r="P17" s="109">
        <v>2.0</v>
      </c>
      <c r="Q17" s="66"/>
      <c r="R17" s="110"/>
    </row>
    <row r="18" ht="12.75" customHeight="1">
      <c r="A18" s="146" t="s">
        <v>90</v>
      </c>
      <c r="B18" s="147" t="b">
        <v>0</v>
      </c>
      <c r="C18" s="139" t="s">
        <v>83</v>
      </c>
      <c r="D18" s="112">
        <v>71.0</v>
      </c>
      <c r="E18" s="140">
        <v>96.0</v>
      </c>
      <c r="F18" s="139"/>
      <c r="G18" s="112"/>
      <c r="H18" s="140"/>
      <c r="I18" s="141"/>
      <c r="J18" s="142"/>
      <c r="K18" s="104"/>
      <c r="L18" s="105"/>
      <c r="M18" s="112"/>
      <c r="N18" s="148"/>
      <c r="O18" s="149" t="s">
        <v>91</v>
      </c>
      <c r="P18" s="116" t="s">
        <v>92</v>
      </c>
      <c r="Q18" s="66"/>
      <c r="R18" s="110"/>
    </row>
    <row r="19" ht="12.75" customHeight="1">
      <c r="A19" s="122" t="s">
        <v>93</v>
      </c>
      <c r="B19" s="123"/>
      <c r="C19" s="139" t="s">
        <v>94</v>
      </c>
      <c r="D19" s="112">
        <v>13.0</v>
      </c>
      <c r="E19" s="140">
        <v>19.0</v>
      </c>
      <c r="F19" s="139"/>
      <c r="G19" s="112"/>
      <c r="H19" s="140"/>
      <c r="I19" s="132" t="s">
        <v>95</v>
      </c>
      <c r="J19" s="150">
        <v>-528.0</v>
      </c>
      <c r="K19" s="104"/>
      <c r="L19" s="105"/>
      <c r="M19" s="112"/>
      <c r="N19" s="148"/>
      <c r="O19" s="149" t="s">
        <v>96</v>
      </c>
      <c r="P19" s="116" t="s">
        <v>65</v>
      </c>
      <c r="Q19" s="66"/>
      <c r="R19" s="110"/>
    </row>
    <row r="20" ht="12.75" customHeight="1">
      <c r="A20" s="135" t="s">
        <v>97</v>
      </c>
      <c r="B20" s="136" t="b">
        <v>0</v>
      </c>
      <c r="C20" s="139" t="s">
        <v>98</v>
      </c>
      <c r="D20" s="151">
        <v>35.0</v>
      </c>
      <c r="E20" s="140">
        <v>35.8</v>
      </c>
      <c r="F20" s="152" t="s">
        <v>99</v>
      </c>
      <c r="G20" s="74"/>
      <c r="H20" s="126"/>
      <c r="I20" s="141"/>
      <c r="J20" s="142"/>
      <c r="K20" s="117"/>
      <c r="L20" s="153"/>
      <c r="M20" s="118"/>
      <c r="N20" s="119"/>
      <c r="O20" s="120" t="s">
        <v>100</v>
      </c>
      <c r="P20" s="121" t="s">
        <v>92</v>
      </c>
      <c r="Q20" s="80"/>
      <c r="R20" s="81"/>
    </row>
    <row r="21" ht="12.75" customHeight="1">
      <c r="A21" s="135" t="s">
        <v>101</v>
      </c>
      <c r="B21" s="136" t="b">
        <v>1</v>
      </c>
      <c r="C21" s="139" t="s">
        <v>102</v>
      </c>
      <c r="D21" s="112">
        <v>92.0</v>
      </c>
      <c r="E21" s="140">
        <v>99.0</v>
      </c>
      <c r="F21" s="154" t="s">
        <v>103</v>
      </c>
      <c r="G21" s="66"/>
      <c r="H21" s="140">
        <v>100.0</v>
      </c>
      <c r="I21" s="152" t="s">
        <v>104</v>
      </c>
      <c r="J21" s="126"/>
      <c r="K21" s="91" t="s">
        <v>105</v>
      </c>
      <c r="L21" s="92"/>
      <c r="M21" s="92"/>
      <c r="N21" s="92"/>
      <c r="O21" s="92"/>
      <c r="P21" s="92"/>
      <c r="Q21" s="92"/>
      <c r="R21" s="93"/>
    </row>
    <row r="22" ht="12.75" customHeight="1">
      <c r="A22" s="146" t="s">
        <v>106</v>
      </c>
      <c r="B22" s="147" t="b">
        <v>0</v>
      </c>
      <c r="C22" s="139" t="s">
        <v>107</v>
      </c>
      <c r="D22" s="112">
        <v>54.0</v>
      </c>
      <c r="E22" s="140">
        <v>238.0</v>
      </c>
      <c r="F22" s="154"/>
      <c r="G22" s="66"/>
      <c r="H22" s="140"/>
      <c r="I22" s="155">
        <v>46005.0</v>
      </c>
      <c r="J22" s="96"/>
      <c r="K22" s="156" t="s">
        <v>108</v>
      </c>
      <c r="L22" s="157" t="s">
        <v>109</v>
      </c>
      <c r="M22" s="158" t="s">
        <v>110</v>
      </c>
      <c r="N22" s="159"/>
      <c r="O22" s="160" t="s">
        <v>111</v>
      </c>
      <c r="P22" s="157"/>
      <c r="Q22" s="161" t="s">
        <v>112</v>
      </c>
      <c r="R22" s="102" t="s">
        <v>113</v>
      </c>
    </row>
    <row r="23" ht="12.75" customHeight="1">
      <c r="A23" s="122" t="s">
        <v>114</v>
      </c>
      <c r="B23" s="123"/>
      <c r="C23" s="139"/>
      <c r="D23" s="162"/>
      <c r="E23" s="163"/>
      <c r="F23" s="164"/>
      <c r="G23" s="165"/>
      <c r="H23" s="163"/>
      <c r="I23" s="166"/>
      <c r="J23" s="167"/>
      <c r="K23" s="168" t="s">
        <v>115</v>
      </c>
      <c r="L23" s="169"/>
      <c r="M23" s="170" t="s">
        <v>94</v>
      </c>
      <c r="N23" s="169">
        <v>16.0</v>
      </c>
      <c r="O23" s="170" t="s">
        <v>116</v>
      </c>
      <c r="P23" s="169"/>
      <c r="Q23" s="171"/>
      <c r="R23" s="110"/>
    </row>
    <row r="24" ht="12.75" customHeight="1">
      <c r="A24" s="103" t="s">
        <v>117</v>
      </c>
      <c r="B24" s="96"/>
      <c r="C24" s="122" t="s">
        <v>118</v>
      </c>
      <c r="D24" s="47"/>
      <c r="E24" s="123"/>
      <c r="F24" s="172" t="s">
        <v>119</v>
      </c>
      <c r="G24" s="47"/>
      <c r="H24" s="47"/>
      <c r="I24" s="47"/>
      <c r="J24" s="123"/>
      <c r="K24" s="168" t="s">
        <v>120</v>
      </c>
      <c r="L24" s="169"/>
      <c r="M24" s="170" t="s">
        <v>121</v>
      </c>
      <c r="N24" s="169"/>
      <c r="O24" s="170" t="s">
        <v>122</v>
      </c>
      <c r="P24" s="169"/>
      <c r="Q24" s="173" t="s">
        <v>123</v>
      </c>
      <c r="R24" s="110"/>
    </row>
    <row r="25" ht="12.75" customHeight="1">
      <c r="A25" s="111"/>
      <c r="B25" s="88"/>
      <c r="C25" s="174"/>
      <c r="D25" s="175" t="s">
        <v>124</v>
      </c>
      <c r="E25" s="176" t="s">
        <v>125</v>
      </c>
      <c r="F25" s="177" t="s">
        <v>37</v>
      </c>
      <c r="G25" s="178" t="s">
        <v>126</v>
      </c>
      <c r="H25" s="179" t="s">
        <v>127</v>
      </c>
      <c r="I25" s="74"/>
      <c r="J25" s="126"/>
      <c r="K25" s="168" t="s">
        <v>128</v>
      </c>
      <c r="L25" s="169"/>
      <c r="M25" s="170" t="s">
        <v>129</v>
      </c>
      <c r="N25" s="169"/>
      <c r="O25" s="170" t="s">
        <v>130</v>
      </c>
      <c r="P25" s="169"/>
      <c r="Q25" s="180" t="s">
        <v>131</v>
      </c>
      <c r="R25" s="110"/>
    </row>
    <row r="26" ht="12.75" customHeight="1">
      <c r="A26" s="111"/>
      <c r="B26" s="88"/>
      <c r="C26" s="174" t="s">
        <v>132</v>
      </c>
      <c r="D26" s="136">
        <v>8.0</v>
      </c>
      <c r="E26" s="136">
        <v>8.0</v>
      </c>
      <c r="F26" s="181">
        <v>45996.0</v>
      </c>
      <c r="G26" s="182" t="s">
        <v>133</v>
      </c>
      <c r="H26" s="183" t="s">
        <v>134</v>
      </c>
      <c r="I26" s="74"/>
      <c r="J26" s="126"/>
      <c r="K26" s="168" t="s">
        <v>135</v>
      </c>
      <c r="L26" s="184"/>
      <c r="M26" s="170" t="s">
        <v>136</v>
      </c>
      <c r="N26" s="169"/>
      <c r="O26" s="170" t="s">
        <v>137</v>
      </c>
      <c r="P26" s="169"/>
      <c r="Q26" s="173" t="s">
        <v>138</v>
      </c>
      <c r="R26" s="110"/>
    </row>
    <row r="27" ht="17.25" customHeight="1">
      <c r="A27" s="111"/>
      <c r="B27" s="88"/>
      <c r="C27" s="174" t="s">
        <v>139</v>
      </c>
      <c r="D27" s="136"/>
      <c r="E27" s="136"/>
      <c r="F27" s="185"/>
      <c r="G27" s="186"/>
      <c r="H27" s="187"/>
      <c r="I27" s="74"/>
      <c r="J27" s="126"/>
      <c r="K27" s="188" t="s">
        <v>140</v>
      </c>
      <c r="L27" s="189"/>
      <c r="M27" s="190" t="s">
        <v>141</v>
      </c>
      <c r="N27" s="189"/>
      <c r="O27" s="190" t="s">
        <v>142</v>
      </c>
      <c r="P27" s="189"/>
      <c r="Q27" s="180" t="s">
        <v>131</v>
      </c>
      <c r="R27" s="81"/>
    </row>
    <row r="28" ht="12.75" customHeight="1">
      <c r="A28" s="166"/>
      <c r="B28" s="167"/>
      <c r="C28" s="174" t="s">
        <v>143</v>
      </c>
      <c r="D28" s="191">
        <v>14.0</v>
      </c>
      <c r="E28" s="191">
        <v>14.0</v>
      </c>
      <c r="F28" s="185"/>
      <c r="G28" s="186"/>
      <c r="H28" s="187"/>
      <c r="I28" s="74"/>
      <c r="J28" s="126"/>
      <c r="K28" s="91" t="s">
        <v>144</v>
      </c>
      <c r="L28" s="92"/>
      <c r="M28" s="92"/>
      <c r="N28" s="92"/>
      <c r="O28" s="92"/>
      <c r="P28" s="92"/>
      <c r="Q28" s="92"/>
      <c r="R28" s="93"/>
    </row>
    <row r="29" ht="12.75" customHeight="1">
      <c r="A29" s="124" t="s">
        <v>145</v>
      </c>
      <c r="B29" s="123"/>
      <c r="C29" s="174" t="s">
        <v>146</v>
      </c>
      <c r="D29" s="191"/>
      <c r="E29" s="191"/>
      <c r="F29" s="185"/>
      <c r="G29" s="186"/>
      <c r="H29" s="187"/>
      <c r="I29" s="74"/>
      <c r="J29" s="126"/>
      <c r="K29" s="192" t="s">
        <v>5</v>
      </c>
      <c r="L29" s="193" t="s">
        <v>147</v>
      </c>
      <c r="M29" s="70"/>
      <c r="N29" s="194" t="s">
        <v>148</v>
      </c>
      <c r="O29" s="195" t="s">
        <v>103</v>
      </c>
      <c r="P29" s="196" t="s">
        <v>149</v>
      </c>
      <c r="Q29" s="197">
        <v>65.4</v>
      </c>
      <c r="R29" s="198" t="s">
        <v>150</v>
      </c>
    </row>
    <row r="30" ht="12.75" customHeight="1">
      <c r="A30" s="139" t="s">
        <v>151</v>
      </c>
      <c r="B30" s="140" t="s">
        <v>152</v>
      </c>
      <c r="C30" s="174" t="s">
        <v>153</v>
      </c>
      <c r="D30" s="136"/>
      <c r="E30" s="136">
        <v>39.0</v>
      </c>
      <c r="F30" s="185"/>
      <c r="G30" s="186"/>
      <c r="H30" s="187"/>
      <c r="I30" s="74"/>
      <c r="J30" s="126"/>
      <c r="K30" s="199" t="s">
        <v>154</v>
      </c>
      <c r="L30" s="113" t="s">
        <v>155</v>
      </c>
      <c r="M30" s="173" t="s">
        <v>156</v>
      </c>
      <c r="N30" s="66"/>
      <c r="O30" s="169" t="s">
        <v>157</v>
      </c>
      <c r="P30" s="200" t="s">
        <v>158</v>
      </c>
      <c r="Q30" s="201" t="s">
        <v>159</v>
      </c>
      <c r="R30" s="110"/>
    </row>
    <row r="31" ht="12.75" customHeight="1">
      <c r="A31" s="139" t="s">
        <v>160</v>
      </c>
      <c r="B31" s="140" t="s">
        <v>161</v>
      </c>
      <c r="C31" s="174" t="s">
        <v>162</v>
      </c>
      <c r="D31" s="136">
        <v>90.0</v>
      </c>
      <c r="E31" s="136">
        <v>75.0</v>
      </c>
      <c r="F31" s="139"/>
      <c r="G31" s="112"/>
      <c r="H31" s="187"/>
      <c r="I31" s="74"/>
      <c r="J31" s="126"/>
      <c r="K31" s="168" t="s">
        <v>163</v>
      </c>
      <c r="L31" s="202" t="s">
        <v>65</v>
      </c>
      <c r="M31" s="66"/>
      <c r="N31" s="203" t="s">
        <v>164</v>
      </c>
      <c r="O31" s="79"/>
      <c r="P31" s="79"/>
      <c r="Q31" s="80"/>
      <c r="R31" s="110"/>
    </row>
    <row r="32" ht="12.75" customHeight="1">
      <c r="A32" s="139" t="s">
        <v>165</v>
      </c>
      <c r="B32" s="140" t="s">
        <v>166</v>
      </c>
      <c r="C32" s="174" t="s">
        <v>167</v>
      </c>
      <c r="D32" s="136"/>
      <c r="E32" s="136"/>
      <c r="F32" s="139"/>
      <c r="G32" s="112"/>
      <c r="H32" s="187"/>
      <c r="I32" s="74"/>
      <c r="J32" s="126"/>
      <c r="K32" s="204" t="s">
        <v>168</v>
      </c>
      <c r="L32" s="116" t="s">
        <v>92</v>
      </c>
      <c r="M32" s="66"/>
      <c r="N32" s="205"/>
      <c r="Q32" s="206"/>
      <c r="R32" s="110"/>
    </row>
    <row r="33" ht="12.75" customHeight="1">
      <c r="A33" s="135" t="s">
        <v>169</v>
      </c>
      <c r="B33" s="136">
        <v>90.0</v>
      </c>
      <c r="C33" s="174" t="s">
        <v>170</v>
      </c>
      <c r="D33" s="136"/>
      <c r="E33" s="136"/>
      <c r="F33" s="139"/>
      <c r="G33" s="112"/>
      <c r="H33" s="187"/>
      <c r="I33" s="74"/>
      <c r="J33" s="126"/>
      <c r="K33" s="204" t="s">
        <v>171</v>
      </c>
      <c r="L33" s="116" t="s">
        <v>92</v>
      </c>
      <c r="M33" s="66"/>
      <c r="N33" s="205"/>
      <c r="Q33" s="206"/>
      <c r="R33" s="110"/>
    </row>
    <row r="34" ht="12.75" customHeight="1">
      <c r="A34" s="174" t="s">
        <v>172</v>
      </c>
      <c r="B34" s="136">
        <v>78.0</v>
      </c>
      <c r="C34" s="174" t="s">
        <v>173</v>
      </c>
      <c r="D34" s="136">
        <v>3.0</v>
      </c>
      <c r="E34" s="136">
        <v>2.6</v>
      </c>
      <c r="F34" s="207"/>
      <c r="G34" s="162"/>
      <c r="H34" s="208"/>
      <c r="I34" s="209"/>
      <c r="J34" s="210"/>
      <c r="K34" s="211" t="s">
        <v>174</v>
      </c>
      <c r="L34" s="121" t="s">
        <v>65</v>
      </c>
      <c r="M34" s="80"/>
      <c r="N34" s="68"/>
      <c r="O34" s="69"/>
      <c r="P34" s="69"/>
      <c r="Q34" s="70"/>
      <c r="R34" s="81"/>
    </row>
    <row r="35" ht="12.75" customHeight="1">
      <c r="A35" s="212" t="s">
        <v>175</v>
      </c>
      <c r="B35" s="147">
        <v>83.0</v>
      </c>
      <c r="C35" s="174" t="s">
        <v>176</v>
      </c>
      <c r="D35" s="136">
        <v>7.44</v>
      </c>
      <c r="E35" s="136"/>
      <c r="F35" s="124" t="s">
        <v>177</v>
      </c>
      <c r="G35" s="47"/>
      <c r="H35" s="47"/>
      <c r="I35" s="47"/>
      <c r="J35" s="123"/>
      <c r="K35" s="91" t="s">
        <v>178</v>
      </c>
      <c r="L35" s="92"/>
      <c r="M35" s="92"/>
      <c r="N35" s="92"/>
      <c r="O35" s="92"/>
      <c r="P35" s="92"/>
      <c r="Q35" s="92"/>
      <c r="R35" s="93"/>
    </row>
    <row r="36" ht="18.75" customHeight="1">
      <c r="A36" s="213" t="s">
        <v>179</v>
      </c>
      <c r="B36" s="123"/>
      <c r="C36" s="174" t="s">
        <v>180</v>
      </c>
      <c r="D36" s="136">
        <v>1.49</v>
      </c>
      <c r="E36" s="136"/>
      <c r="F36" s="129" t="s">
        <v>37</v>
      </c>
      <c r="G36" s="130" t="s">
        <v>126</v>
      </c>
      <c r="H36" s="214" t="s">
        <v>127</v>
      </c>
      <c r="I36" s="74"/>
      <c r="J36" s="126"/>
      <c r="K36" s="215" t="s">
        <v>181</v>
      </c>
      <c r="L36" s="216" t="s">
        <v>92</v>
      </c>
      <c r="M36" s="70"/>
      <c r="N36" s="217" t="s">
        <v>182</v>
      </c>
      <c r="Q36" s="206"/>
      <c r="R36" s="198" t="s">
        <v>183</v>
      </c>
    </row>
    <row r="37" ht="12.75" customHeight="1">
      <c r="A37" s="218" t="s">
        <v>184</v>
      </c>
      <c r="B37" s="96"/>
      <c r="C37" s="174" t="s">
        <v>185</v>
      </c>
      <c r="D37" s="219"/>
      <c r="E37" s="220"/>
      <c r="F37" s="221">
        <v>46000.0</v>
      </c>
      <c r="G37" s="112" t="s">
        <v>186</v>
      </c>
      <c r="H37" s="116" t="s">
        <v>187</v>
      </c>
      <c r="I37" s="74"/>
      <c r="J37" s="126"/>
      <c r="K37" s="204" t="s">
        <v>188</v>
      </c>
      <c r="L37" s="116" t="s">
        <v>65</v>
      </c>
      <c r="M37" s="66"/>
      <c r="N37" s="205"/>
      <c r="Q37" s="206"/>
      <c r="R37" s="110"/>
    </row>
    <row r="38" ht="12.75" customHeight="1">
      <c r="A38" s="111"/>
      <c r="B38" s="88"/>
      <c r="C38" s="174" t="s">
        <v>189</v>
      </c>
      <c r="D38" s="219"/>
      <c r="E38" s="220"/>
      <c r="F38" s="222"/>
      <c r="G38" s="112"/>
      <c r="H38" s="116"/>
      <c r="I38" s="74"/>
      <c r="J38" s="126"/>
      <c r="K38" s="223" t="s">
        <v>190</v>
      </c>
      <c r="L38" s="224">
        <f>(J15/Q29)/E15</f>
        <v>0.495667686</v>
      </c>
      <c r="M38" s="66"/>
      <c r="N38" s="205"/>
      <c r="Q38" s="206"/>
      <c r="R38" s="110"/>
    </row>
    <row r="39" ht="12.75" customHeight="1">
      <c r="A39" s="111"/>
      <c r="B39" s="88"/>
      <c r="C39" s="174" t="s">
        <v>191</v>
      </c>
      <c r="D39" s="219"/>
      <c r="E39" s="220"/>
      <c r="F39" s="139"/>
      <c r="G39" s="112"/>
      <c r="H39" s="116"/>
      <c r="I39" s="74"/>
      <c r="J39" s="126"/>
      <c r="K39" s="204" t="s">
        <v>192</v>
      </c>
      <c r="L39" s="116" t="s">
        <v>92</v>
      </c>
      <c r="M39" s="66"/>
      <c r="N39" s="205"/>
      <c r="Q39" s="206"/>
      <c r="R39" s="110"/>
    </row>
    <row r="40" ht="12.75" customHeight="1">
      <c r="A40" s="111"/>
      <c r="B40" s="88"/>
      <c r="C40" s="174" t="s">
        <v>193</v>
      </c>
      <c r="D40" s="219"/>
      <c r="E40" s="220"/>
      <c r="F40" s="139"/>
      <c r="G40" s="112"/>
      <c r="H40" s="116"/>
      <c r="I40" s="74"/>
      <c r="J40" s="126"/>
      <c r="K40" s="211" t="s">
        <v>194</v>
      </c>
      <c r="L40" s="121"/>
      <c r="M40" s="80"/>
      <c r="N40" s="68"/>
      <c r="O40" s="69"/>
      <c r="P40" s="69"/>
      <c r="Q40" s="70"/>
      <c r="R40" s="81"/>
    </row>
    <row r="41" ht="12.75" customHeight="1">
      <c r="A41" s="111"/>
      <c r="B41" s="88"/>
      <c r="C41" s="174" t="s">
        <v>195</v>
      </c>
      <c r="D41" s="225"/>
      <c r="E41" s="220"/>
      <c r="F41" s="139"/>
      <c r="G41" s="112"/>
      <c r="H41" s="116"/>
      <c r="I41" s="74"/>
      <c r="J41" s="126"/>
      <c r="K41" s="91" t="s">
        <v>196</v>
      </c>
      <c r="L41" s="92"/>
      <c r="M41" s="92"/>
      <c r="N41" s="92"/>
      <c r="O41" s="92"/>
      <c r="P41" s="92"/>
      <c r="Q41" s="92"/>
      <c r="R41" s="93"/>
    </row>
    <row r="42" ht="12.75" customHeight="1">
      <c r="A42" s="111"/>
      <c r="B42" s="88"/>
      <c r="C42" s="226" t="s">
        <v>197</v>
      </c>
      <c r="D42" s="227"/>
      <c r="E42" s="228"/>
      <c r="F42" s="207"/>
      <c r="G42" s="162"/>
      <c r="H42" s="229"/>
      <c r="I42" s="209"/>
      <c r="J42" s="210"/>
      <c r="K42" s="230" t="s">
        <v>198</v>
      </c>
      <c r="L42" s="70"/>
      <c r="M42" s="231" t="s">
        <v>92</v>
      </c>
      <c r="N42" s="70"/>
      <c r="O42" s="232" t="s">
        <v>199</v>
      </c>
      <c r="P42" s="232" t="s">
        <v>200</v>
      </c>
      <c r="Q42" s="233" t="s">
        <v>53</v>
      </c>
      <c r="R42" s="102" t="s">
        <v>201</v>
      </c>
    </row>
    <row r="43" ht="19.5" customHeight="1">
      <c r="A43" s="111"/>
      <c r="B43" s="88"/>
      <c r="C43" s="234" t="s">
        <v>202</v>
      </c>
      <c r="D43" s="235"/>
      <c r="E43" s="236"/>
      <c r="F43" s="237" t="s">
        <v>203</v>
      </c>
      <c r="G43" s="47"/>
      <c r="H43" s="47"/>
      <c r="I43" s="47"/>
      <c r="J43" s="123"/>
      <c r="K43" s="238" t="s">
        <v>204</v>
      </c>
      <c r="L43" s="66"/>
      <c r="M43" s="239" t="s">
        <v>92</v>
      </c>
      <c r="N43" s="66"/>
      <c r="O43" s="240" t="s">
        <v>205</v>
      </c>
      <c r="P43" s="241">
        <v>45997.0</v>
      </c>
      <c r="Q43" s="242">
        <v>46002.0</v>
      </c>
      <c r="R43" s="110"/>
    </row>
    <row r="44" ht="12.75" customHeight="1">
      <c r="A44" s="111"/>
      <c r="B44" s="88"/>
      <c r="C44" s="243"/>
      <c r="D44" s="244"/>
      <c r="E44" s="245"/>
      <c r="F44" s="246" t="s">
        <v>126</v>
      </c>
      <c r="G44" s="247" t="s">
        <v>206</v>
      </c>
      <c r="H44" s="178" t="s">
        <v>207</v>
      </c>
      <c r="I44" s="178" t="s">
        <v>208</v>
      </c>
      <c r="J44" s="248" t="s">
        <v>209</v>
      </c>
      <c r="K44" s="238" t="s">
        <v>210</v>
      </c>
      <c r="L44" s="66"/>
      <c r="M44" s="239" t="s">
        <v>65</v>
      </c>
      <c r="N44" s="66"/>
      <c r="O44" s="249" t="s">
        <v>211</v>
      </c>
      <c r="P44" s="250">
        <v>46000.0</v>
      </c>
      <c r="Q44" s="251">
        <v>46003.0</v>
      </c>
      <c r="R44" s="110"/>
    </row>
    <row r="45" ht="12.75" customHeight="1">
      <c r="A45" s="111"/>
      <c r="B45" s="88"/>
      <c r="C45" s="243" t="s">
        <v>212</v>
      </c>
      <c r="D45" s="252">
        <v>7.43</v>
      </c>
      <c r="E45" s="253"/>
      <c r="F45" s="254" t="s">
        <v>213</v>
      </c>
      <c r="G45" s="112" t="s">
        <v>214</v>
      </c>
      <c r="H45" s="112"/>
      <c r="I45" s="145">
        <v>45988.0</v>
      </c>
      <c r="J45" s="255">
        <v>45997.0</v>
      </c>
      <c r="K45" s="238" t="s">
        <v>215</v>
      </c>
      <c r="L45" s="66"/>
      <c r="M45" s="239" t="s">
        <v>92</v>
      </c>
      <c r="N45" s="66"/>
      <c r="O45" s="240" t="s">
        <v>216</v>
      </c>
      <c r="P45" s="256">
        <v>45989.0</v>
      </c>
      <c r="Q45" s="257">
        <v>46003.0</v>
      </c>
      <c r="R45" s="110"/>
    </row>
    <row r="46" ht="12.75" customHeight="1">
      <c r="A46" s="111"/>
      <c r="B46" s="88"/>
      <c r="C46" s="243" t="s">
        <v>217</v>
      </c>
      <c r="D46" s="252">
        <v>53.0</v>
      </c>
      <c r="E46" s="253"/>
      <c r="F46" s="254" t="s">
        <v>218</v>
      </c>
      <c r="G46" s="112"/>
      <c r="H46" s="112" t="s">
        <v>219</v>
      </c>
      <c r="I46" s="145">
        <v>45987.0</v>
      </c>
      <c r="J46" s="140"/>
      <c r="K46" s="238" t="s">
        <v>220</v>
      </c>
      <c r="L46" s="66"/>
      <c r="M46" s="239" t="s">
        <v>65</v>
      </c>
      <c r="N46" s="66"/>
      <c r="O46" s="240" t="s">
        <v>221</v>
      </c>
      <c r="P46" s="256">
        <v>46002.0</v>
      </c>
      <c r="Q46" s="258"/>
      <c r="R46" s="110"/>
    </row>
    <row r="47" ht="12.75" customHeight="1">
      <c r="A47" s="111"/>
      <c r="B47" s="88"/>
      <c r="C47" s="243" t="s">
        <v>222</v>
      </c>
      <c r="D47" s="252">
        <v>69.0</v>
      </c>
      <c r="E47" s="253"/>
      <c r="F47" s="254" t="s">
        <v>223</v>
      </c>
      <c r="G47" s="259"/>
      <c r="H47" s="112" t="s">
        <v>224</v>
      </c>
      <c r="I47" s="259">
        <v>45988.0</v>
      </c>
      <c r="J47" s="140"/>
      <c r="K47" s="260" t="s">
        <v>225</v>
      </c>
      <c r="L47" s="80"/>
      <c r="M47" s="121"/>
      <c r="N47" s="80"/>
      <c r="O47" s="261"/>
      <c r="P47" s="261"/>
      <c r="Q47" s="262"/>
      <c r="R47" s="81"/>
    </row>
    <row r="48" ht="12.75" customHeight="1">
      <c r="A48" s="111"/>
      <c r="B48" s="88"/>
      <c r="C48" s="243" t="s">
        <v>226</v>
      </c>
      <c r="D48" s="252">
        <v>35.0</v>
      </c>
      <c r="E48" s="253"/>
      <c r="F48" s="254" t="s">
        <v>213</v>
      </c>
      <c r="G48" s="112" t="s">
        <v>227</v>
      </c>
      <c r="H48" s="112"/>
      <c r="I48" s="259">
        <v>45997.0</v>
      </c>
      <c r="J48" s="263"/>
      <c r="K48" s="91" t="s">
        <v>228</v>
      </c>
      <c r="L48" s="92"/>
      <c r="M48" s="92"/>
      <c r="N48" s="92"/>
      <c r="O48" s="92"/>
      <c r="P48" s="92"/>
      <c r="Q48" s="92"/>
      <c r="R48" s="93"/>
    </row>
    <row r="49" ht="12.75" customHeight="1">
      <c r="A49" s="111"/>
      <c r="B49" s="88"/>
      <c r="C49" s="243" t="s">
        <v>229</v>
      </c>
      <c r="D49" s="252">
        <v>10.0</v>
      </c>
      <c r="E49" s="253"/>
      <c r="F49" s="254" t="s">
        <v>230</v>
      </c>
      <c r="G49" s="112"/>
      <c r="H49" s="112">
        <v>7.5</v>
      </c>
      <c r="I49" s="112" t="s">
        <v>231</v>
      </c>
      <c r="J49" s="264">
        <v>45995.0</v>
      </c>
      <c r="K49" s="192" t="s">
        <v>232</v>
      </c>
      <c r="L49" s="193" t="s">
        <v>233</v>
      </c>
      <c r="M49" s="69"/>
      <c r="N49" s="70"/>
      <c r="O49" s="194" t="s">
        <v>234</v>
      </c>
      <c r="P49" s="265" t="s">
        <v>235</v>
      </c>
      <c r="Q49" s="70"/>
      <c r="R49" s="102" t="s">
        <v>236</v>
      </c>
    </row>
    <row r="50" ht="12.75" customHeight="1">
      <c r="A50" s="111"/>
      <c r="B50" s="88"/>
      <c r="C50" s="243" t="s">
        <v>237</v>
      </c>
      <c r="D50" s="252">
        <v>94.0</v>
      </c>
      <c r="E50" s="253"/>
      <c r="F50" s="254"/>
      <c r="G50" s="112"/>
      <c r="H50" s="112"/>
      <c r="I50" s="112"/>
      <c r="J50" s="140"/>
      <c r="K50" s="266" t="s">
        <v>238</v>
      </c>
      <c r="L50" s="267" t="s">
        <v>239</v>
      </c>
      <c r="M50" s="66"/>
      <c r="N50" s="268" t="s">
        <v>240</v>
      </c>
      <c r="O50" s="66"/>
      <c r="P50" s="269"/>
      <c r="Q50" s="66"/>
      <c r="R50" s="110"/>
    </row>
    <row r="51" ht="12.75" customHeight="1">
      <c r="A51" s="111"/>
      <c r="B51" s="88"/>
      <c r="C51" s="243" t="s">
        <v>241</v>
      </c>
      <c r="D51" s="252">
        <v>328.0</v>
      </c>
      <c r="E51" s="253"/>
      <c r="F51" s="270"/>
      <c r="G51" s="259"/>
      <c r="H51" s="259"/>
      <c r="I51" s="259"/>
      <c r="J51" s="140"/>
      <c r="K51" s="266" t="s">
        <v>242</v>
      </c>
      <c r="L51" s="267" t="s">
        <v>65</v>
      </c>
      <c r="M51" s="66"/>
      <c r="N51" s="271" t="s">
        <v>243</v>
      </c>
      <c r="O51" s="79"/>
      <c r="P51" s="79"/>
      <c r="Q51" s="80"/>
      <c r="R51" s="110"/>
    </row>
    <row r="52" ht="12.75" customHeight="1">
      <c r="A52" s="111"/>
      <c r="B52" s="88"/>
      <c r="C52" s="243"/>
      <c r="D52" s="252"/>
      <c r="E52" s="253"/>
      <c r="F52" s="254"/>
      <c r="G52" s="112"/>
      <c r="H52" s="112"/>
      <c r="I52" s="112"/>
      <c r="J52" s="263"/>
      <c r="K52" s="266" t="s">
        <v>244</v>
      </c>
      <c r="L52" s="267" t="s">
        <v>65</v>
      </c>
      <c r="M52" s="66"/>
      <c r="N52" s="205"/>
      <c r="Q52" s="206"/>
      <c r="R52" s="110"/>
    </row>
    <row r="53" ht="12.75" customHeight="1">
      <c r="A53" s="111"/>
      <c r="B53" s="88"/>
      <c r="C53" s="272" t="s">
        <v>245</v>
      </c>
      <c r="D53" s="273"/>
      <c r="E53" s="274"/>
      <c r="F53" s="254"/>
      <c r="G53" s="112"/>
      <c r="H53" s="112"/>
      <c r="I53" s="112"/>
      <c r="J53" s="263"/>
      <c r="K53" s="266" t="s">
        <v>246</v>
      </c>
      <c r="L53" s="267" t="s">
        <v>65</v>
      </c>
      <c r="M53" s="66"/>
      <c r="N53" s="205"/>
      <c r="Q53" s="206"/>
      <c r="R53" s="110"/>
    </row>
    <row r="54" ht="12.75" customHeight="1">
      <c r="A54" s="166"/>
      <c r="B54" s="167"/>
      <c r="C54" s="275"/>
      <c r="D54" s="276"/>
      <c r="E54" s="277"/>
      <c r="F54" s="278"/>
      <c r="G54" s="118"/>
      <c r="H54" s="118"/>
      <c r="I54" s="118"/>
      <c r="J54" s="279"/>
      <c r="K54" s="188" t="s">
        <v>247</v>
      </c>
      <c r="L54" s="180">
        <v>1.0</v>
      </c>
      <c r="M54" s="80"/>
      <c r="N54" s="280"/>
      <c r="O54" s="281"/>
      <c r="P54" s="281"/>
      <c r="Q54" s="282"/>
      <c r="R54" s="81"/>
    </row>
    <row r="55" ht="18.75" customHeight="1">
      <c r="A55" s="283" t="s">
        <v>248</v>
      </c>
      <c r="B55" s="284" t="s">
        <v>249</v>
      </c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285"/>
      <c r="Q55" s="285"/>
      <c r="R55" s="286"/>
    </row>
    <row r="56" ht="18.75" customHeight="1">
      <c r="A56" s="287"/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8"/>
      <c r="P56" s="288"/>
      <c r="Q56" s="288"/>
      <c r="R56" s="289"/>
    </row>
  </sheetData>
  <mergeCells count="126">
    <mergeCell ref="B4:Q4"/>
    <mergeCell ref="B5:Q5"/>
    <mergeCell ref="A6:B6"/>
    <mergeCell ref="C6:J6"/>
    <mergeCell ref="K6:Q6"/>
    <mergeCell ref="R8:R13"/>
    <mergeCell ref="P13:Q13"/>
    <mergeCell ref="K14:R14"/>
    <mergeCell ref="C8:J13"/>
    <mergeCell ref="C14:E14"/>
    <mergeCell ref="F14:H14"/>
    <mergeCell ref="I14:J14"/>
    <mergeCell ref="C15:D15"/>
    <mergeCell ref="I15:I16"/>
    <mergeCell ref="J15:J16"/>
    <mergeCell ref="I21:J21"/>
    <mergeCell ref="I22:J23"/>
    <mergeCell ref="I17:I18"/>
    <mergeCell ref="J17:J18"/>
    <mergeCell ref="I19:I20"/>
    <mergeCell ref="J19:J20"/>
    <mergeCell ref="F20:H20"/>
    <mergeCell ref="F21:G21"/>
    <mergeCell ref="F22:G22"/>
    <mergeCell ref="F23:G23"/>
    <mergeCell ref="A24:B28"/>
    <mergeCell ref="A29:B29"/>
    <mergeCell ref="A36:B36"/>
    <mergeCell ref="A37:B54"/>
    <mergeCell ref="C43:E43"/>
    <mergeCell ref="A55:A56"/>
    <mergeCell ref="A7:B8"/>
    <mergeCell ref="A9:B13"/>
    <mergeCell ref="A14:B14"/>
    <mergeCell ref="A15:B15"/>
    <mergeCell ref="A19:B19"/>
    <mergeCell ref="A23:B23"/>
    <mergeCell ref="C24:E24"/>
    <mergeCell ref="P19:Q19"/>
    <mergeCell ref="P20:Q20"/>
    <mergeCell ref="K21:R21"/>
    <mergeCell ref="F24:J24"/>
    <mergeCell ref="H25:J25"/>
    <mergeCell ref="H26:J26"/>
    <mergeCell ref="H27:J27"/>
    <mergeCell ref="H28:J28"/>
    <mergeCell ref="K28:R28"/>
    <mergeCell ref="H29:J29"/>
    <mergeCell ref="L29:M29"/>
    <mergeCell ref="H30:J30"/>
    <mergeCell ref="M30:N30"/>
    <mergeCell ref="H31:J31"/>
    <mergeCell ref="H34:J34"/>
    <mergeCell ref="F35:J35"/>
    <mergeCell ref="H36:J36"/>
    <mergeCell ref="L36:M36"/>
    <mergeCell ref="L31:M31"/>
    <mergeCell ref="H32:J32"/>
    <mergeCell ref="L32:M32"/>
    <mergeCell ref="H33:J33"/>
    <mergeCell ref="L33:M33"/>
    <mergeCell ref="L34:M34"/>
    <mergeCell ref="K35:R35"/>
    <mergeCell ref="D1:G1"/>
    <mergeCell ref="J1:J2"/>
    <mergeCell ref="K1:K2"/>
    <mergeCell ref="L1:L2"/>
    <mergeCell ref="M1:Q2"/>
    <mergeCell ref="H2:I2"/>
    <mergeCell ref="B3:Q3"/>
    <mergeCell ref="C7:J7"/>
    <mergeCell ref="K7:R7"/>
    <mergeCell ref="R4:R5"/>
    <mergeCell ref="P8:Q8"/>
    <mergeCell ref="P9:Q9"/>
    <mergeCell ref="P10:Q10"/>
    <mergeCell ref="R22:R27"/>
    <mergeCell ref="R29:R34"/>
    <mergeCell ref="R36:R40"/>
    <mergeCell ref="P11:Q11"/>
    <mergeCell ref="P12:Q12"/>
    <mergeCell ref="P15:Q15"/>
    <mergeCell ref="R15:R20"/>
    <mergeCell ref="P16:Q16"/>
    <mergeCell ref="P17:Q17"/>
    <mergeCell ref="P18:Q18"/>
    <mergeCell ref="L40:M40"/>
    <mergeCell ref="K41:R41"/>
    <mergeCell ref="F43:J43"/>
    <mergeCell ref="N51:Q54"/>
    <mergeCell ref="L52:M52"/>
    <mergeCell ref="L53:M53"/>
    <mergeCell ref="L54:M54"/>
    <mergeCell ref="B55:R56"/>
    <mergeCell ref="K47:L47"/>
    <mergeCell ref="M47:N47"/>
    <mergeCell ref="L49:N49"/>
    <mergeCell ref="P49:Q49"/>
    <mergeCell ref="R49:R54"/>
    <mergeCell ref="N50:O50"/>
    <mergeCell ref="P50:Q50"/>
    <mergeCell ref="N31:Q34"/>
    <mergeCell ref="N36:Q40"/>
    <mergeCell ref="H37:J37"/>
    <mergeCell ref="L37:M37"/>
    <mergeCell ref="H38:J38"/>
    <mergeCell ref="L38:M38"/>
    <mergeCell ref="L39:M39"/>
    <mergeCell ref="K43:L43"/>
    <mergeCell ref="M43:N43"/>
    <mergeCell ref="K44:L44"/>
    <mergeCell ref="M44:N44"/>
    <mergeCell ref="K45:L45"/>
    <mergeCell ref="M45:N45"/>
    <mergeCell ref="K46:L46"/>
    <mergeCell ref="M46:N46"/>
    <mergeCell ref="H39:J39"/>
    <mergeCell ref="H40:J40"/>
    <mergeCell ref="H41:J41"/>
    <mergeCell ref="H42:J42"/>
    <mergeCell ref="K42:L42"/>
    <mergeCell ref="M42:N42"/>
    <mergeCell ref="R42:R47"/>
    <mergeCell ref="K48:R48"/>
    <mergeCell ref="L50:M50"/>
    <mergeCell ref="L51:M51"/>
  </mergeCells>
  <conditionalFormatting sqref="H2">
    <cfRule type="cellIs" dxfId="0" priority="1" operator="lessThanOrEqual">
      <formula>1</formula>
    </cfRule>
  </conditionalFormatting>
  <conditionalFormatting sqref="P16:Q16">
    <cfRule type="cellIs" dxfId="1" priority="2" operator="between">
      <formula>60</formula>
      <formula>100</formula>
    </cfRule>
  </conditionalFormatting>
  <conditionalFormatting sqref="P16:Q16">
    <cfRule type="cellIs" dxfId="2" priority="3" operator="notBetween">
      <formula>60</formula>
      <formula>100</formula>
    </cfRule>
  </conditionalFormatting>
  <conditionalFormatting sqref="P15:Q15">
    <cfRule type="cellIs" dxfId="1" priority="4" operator="between">
      <formula>60</formula>
      <formula>100</formula>
    </cfRule>
  </conditionalFormatting>
  <conditionalFormatting sqref="P15:Q15">
    <cfRule type="cellIs" dxfId="3" priority="5" operator="notBetween">
      <formula>60</formula>
      <formula>100</formula>
    </cfRule>
  </conditionalFormatting>
  <conditionalFormatting sqref="P17:Q17">
    <cfRule type="cellIs" dxfId="1" priority="6" operator="between">
      <formula>1</formula>
      <formula>3</formula>
    </cfRule>
  </conditionalFormatting>
  <conditionalFormatting sqref="P17:Q17">
    <cfRule type="cellIs" dxfId="3" priority="7" operator="notBetween">
      <formula>1</formula>
      <formula>3</formula>
    </cfRule>
  </conditionalFormatting>
  <conditionalFormatting sqref="N23">
    <cfRule type="cellIs" dxfId="1" priority="8" operator="between">
      <formula>12</formula>
      <formula>20</formula>
    </cfRule>
  </conditionalFormatting>
  <conditionalFormatting sqref="N23">
    <cfRule type="cellIs" dxfId="3" priority="9" operator="notBetween">
      <formula>12</formula>
      <formula>20</formula>
    </cfRule>
  </conditionalFormatting>
  <conditionalFormatting sqref="N24">
    <cfRule type="cellIs" dxfId="1" priority="10" operator="between">
      <formula>21</formula>
      <formula>45</formula>
    </cfRule>
  </conditionalFormatting>
  <conditionalFormatting sqref="N24">
    <cfRule type="cellIs" dxfId="3" priority="11" operator="notBetween">
      <formula>21</formula>
      <formula>45</formula>
    </cfRule>
  </conditionalFormatting>
  <conditionalFormatting sqref="N25">
    <cfRule type="cellIs" dxfId="1" priority="12" operator="between">
      <formula>3</formula>
      <formula>10</formula>
    </cfRule>
  </conditionalFormatting>
  <conditionalFormatting sqref="N25">
    <cfRule type="cellIs" dxfId="3" priority="13" operator="notBetween">
      <formula>3</formula>
      <formula>10</formula>
    </cfRule>
  </conditionalFormatting>
  <conditionalFormatting sqref="L25:L27">
    <cfRule type="cellIs" dxfId="1" priority="14" operator="between">
      <formula>20</formula>
      <formula>35</formula>
    </cfRule>
  </conditionalFormatting>
  <conditionalFormatting sqref="L25:L27">
    <cfRule type="cellIs" dxfId="3" priority="15" operator="notBetween">
      <formula>20</formula>
      <formula>35</formula>
    </cfRule>
  </conditionalFormatting>
  <conditionalFormatting sqref="D17:E17">
    <cfRule type="cellIs" dxfId="4" priority="16" operator="between">
      <formula>60</formula>
      <formula>100</formula>
    </cfRule>
  </conditionalFormatting>
  <conditionalFormatting sqref="D17:E17">
    <cfRule type="cellIs" dxfId="5" priority="17" operator="notBetween">
      <formula>60</formula>
      <formula>90</formula>
    </cfRule>
  </conditionalFormatting>
  <conditionalFormatting sqref="D18">
    <cfRule type="cellIs" dxfId="1" priority="18" operator="between">
      <formula>60</formula>
      <formula>100</formula>
    </cfRule>
  </conditionalFormatting>
  <conditionalFormatting sqref="D18">
    <cfRule type="cellIs" dxfId="5" priority="19" operator="notBetween">
      <formula>60</formula>
      <formula>100</formula>
    </cfRule>
  </conditionalFormatting>
  <conditionalFormatting sqref="E18">
    <cfRule type="cellIs" dxfId="4" priority="20" operator="between">
      <formula>60</formula>
      <formula>100</formula>
    </cfRule>
  </conditionalFormatting>
  <conditionalFormatting sqref="E18">
    <cfRule type="cellIs" dxfId="6" priority="21" operator="notBetween">
      <formula>60</formula>
      <formula>100</formula>
    </cfRule>
  </conditionalFormatting>
  <conditionalFormatting sqref="D19:E19">
    <cfRule type="cellIs" dxfId="4" priority="22" operator="between">
      <formula>12</formula>
      <formula>20</formula>
    </cfRule>
  </conditionalFormatting>
  <conditionalFormatting sqref="D19:E19">
    <cfRule type="cellIs" dxfId="5" priority="23" operator="notBetween">
      <formula>12</formula>
      <formula>20</formula>
    </cfRule>
  </conditionalFormatting>
  <conditionalFormatting sqref="D21:E21">
    <cfRule type="cellIs" dxfId="4" priority="24" operator="between">
      <formula>92</formula>
      <formula>100</formula>
    </cfRule>
  </conditionalFormatting>
  <conditionalFormatting sqref="D21:E21">
    <cfRule type="cellIs" dxfId="5" priority="25" operator="notBetween">
      <formula>92</formula>
      <formula>100</formula>
    </cfRule>
  </conditionalFormatting>
  <conditionalFormatting sqref="D21:E23">
    <cfRule type="cellIs" dxfId="4" priority="26" operator="between">
      <formula>80</formula>
      <formula>180</formula>
    </cfRule>
  </conditionalFormatting>
  <conditionalFormatting sqref="D21:E23">
    <cfRule type="cellIs" dxfId="5" priority="27" operator="notBetween">
      <formula>80</formula>
      <formula>180</formula>
    </cfRule>
  </conditionalFormatting>
  <conditionalFormatting sqref="J15:J16">
    <cfRule type="cellIs" dxfId="1" priority="28" operator="between">
      <formula>500</formula>
      <formula>2500</formula>
    </cfRule>
  </conditionalFormatting>
  <conditionalFormatting sqref="J15:J16">
    <cfRule type="cellIs" dxfId="3" priority="29" operator="notBetween">
      <formula>500</formula>
      <formula>2500</formula>
    </cfRule>
  </conditionalFormatting>
  <conditionalFormatting sqref="D26:E26">
    <cfRule type="cellIs" dxfId="1" priority="30" operator="between">
      <formula>7</formula>
      <formula>16</formula>
    </cfRule>
  </conditionalFormatting>
  <conditionalFormatting sqref="D26:E26">
    <cfRule type="cellIs" dxfId="3" priority="31" operator="notBetween">
      <formula>7</formula>
      <formula>16</formula>
    </cfRule>
  </conditionalFormatting>
  <conditionalFormatting sqref="D28:E28">
    <cfRule type="cellIs" dxfId="1" priority="32" operator="between">
      <formula>4000</formula>
      <formula>12000</formula>
    </cfRule>
  </conditionalFormatting>
  <conditionalFormatting sqref="D28:E28">
    <cfRule type="cellIs" dxfId="3" priority="33" operator="notBetween">
      <formula>4000</formula>
      <formula>12000</formula>
    </cfRule>
  </conditionalFormatting>
  <conditionalFormatting sqref="D29:E29">
    <cfRule type="cellIs" dxfId="1" priority="34" operator="between">
      <formula>150000</formula>
      <formula>500000</formula>
    </cfRule>
  </conditionalFormatting>
  <conditionalFormatting sqref="D29:E29">
    <cfRule type="cellIs" dxfId="3" priority="35" operator="notBetween">
      <formula>150000</formula>
      <formula>500000</formula>
    </cfRule>
  </conditionalFormatting>
  <conditionalFormatting sqref="D31:E31">
    <cfRule type="cellIs" dxfId="1" priority="36" operator="between">
      <formula>10</formula>
      <formula>45</formula>
    </cfRule>
  </conditionalFormatting>
  <conditionalFormatting sqref="D31:E31">
    <cfRule type="cellIs" dxfId="3" priority="37" operator="notBetween">
      <formula>10</formula>
      <formula>45</formula>
    </cfRule>
  </conditionalFormatting>
  <conditionalFormatting sqref="D32:E32">
    <cfRule type="cellIs" dxfId="1" priority="38" operator="between">
      <formula>0.5</formula>
      <formula>1.4</formula>
    </cfRule>
  </conditionalFormatting>
  <conditionalFormatting sqref="D32:E32">
    <cfRule type="cellIs" dxfId="3" priority="39" operator="notBetween">
      <formula>0.5</formula>
      <formula>1.4</formula>
    </cfRule>
  </conditionalFormatting>
  <conditionalFormatting sqref="D33:E33">
    <cfRule type="cellIs" dxfId="1" priority="40" operator="between">
      <formula>135</formula>
      <formula>145</formula>
    </cfRule>
  </conditionalFormatting>
  <conditionalFormatting sqref="D33:E33">
    <cfRule type="cellIs" dxfId="3" priority="41" operator="notBetween">
      <formula>135</formula>
      <formula>145</formula>
    </cfRule>
  </conditionalFormatting>
  <conditionalFormatting sqref="D34:E34">
    <cfRule type="cellIs" dxfId="1" priority="42" operator="between">
      <formula>3.5</formula>
      <formula>5.5</formula>
    </cfRule>
  </conditionalFormatting>
  <conditionalFormatting sqref="D34:E34">
    <cfRule type="cellIs" dxfId="3" priority="43" operator="notBetween">
      <formula>3.5</formula>
      <formula>5.5</formula>
    </cfRule>
  </conditionalFormatting>
  <conditionalFormatting sqref="D38:E38">
    <cfRule type="cellIs" dxfId="1" priority="44" operator="between">
      <formula>0</formula>
      <formula>0.1</formula>
    </cfRule>
  </conditionalFormatting>
  <conditionalFormatting sqref="D38:E38">
    <cfRule type="cellIs" dxfId="3" priority="45" operator="notBetween">
      <formula>0</formula>
      <formula>0.1</formula>
    </cfRule>
  </conditionalFormatting>
  <conditionalFormatting sqref="D45:E45">
    <cfRule type="cellIs" dxfId="1" priority="46" operator="between">
      <formula>7.35</formula>
      <formula>7.45</formula>
    </cfRule>
  </conditionalFormatting>
  <conditionalFormatting sqref="D45:E45">
    <cfRule type="cellIs" dxfId="3" priority="47" operator="notBetween">
      <formula>7.35</formula>
      <formula>7.45</formula>
    </cfRule>
  </conditionalFormatting>
  <conditionalFormatting sqref="D46:E46">
    <cfRule type="cellIs" dxfId="1" priority="48" operator="between">
      <formula>35</formula>
      <formula>45</formula>
    </cfRule>
  </conditionalFormatting>
  <conditionalFormatting sqref="D46:E46">
    <cfRule type="cellIs" dxfId="3" priority="49" operator="notBetween">
      <formula>35</formula>
      <formula>45</formula>
    </cfRule>
  </conditionalFormatting>
  <conditionalFormatting sqref="D47:E47">
    <cfRule type="cellIs" dxfId="1" priority="50" operator="between">
      <formula>60</formula>
      <formula>100</formula>
    </cfRule>
  </conditionalFormatting>
  <conditionalFormatting sqref="D47:E47">
    <cfRule type="cellIs" dxfId="3" priority="51" operator="notBetween">
      <formula>60</formula>
      <formula>100</formula>
    </cfRule>
  </conditionalFormatting>
  <conditionalFormatting sqref="D48:E48">
    <cfRule type="cellIs" dxfId="1" priority="52" operator="between">
      <formula>18</formula>
      <formula>30</formula>
    </cfRule>
  </conditionalFormatting>
  <conditionalFormatting sqref="D48:E48">
    <cfRule type="cellIs" dxfId="3" priority="53" operator="notBetween">
      <formula>18</formula>
      <formula>30</formula>
    </cfRule>
  </conditionalFormatting>
  <conditionalFormatting sqref="D49:E49">
    <cfRule type="cellIs" dxfId="1" priority="54" operator="between">
      <formula>-2</formula>
      <formula>2</formula>
    </cfRule>
  </conditionalFormatting>
  <conditionalFormatting sqref="D49:E49">
    <cfRule type="cellIs" dxfId="3" priority="55" operator="notBetween">
      <formula>-2</formula>
      <formula>2</formula>
    </cfRule>
  </conditionalFormatting>
  <conditionalFormatting sqref="D50:E50">
    <cfRule type="cellIs" dxfId="1" priority="56" operator="between">
      <formula>92</formula>
      <formula>100</formula>
    </cfRule>
  </conditionalFormatting>
  <conditionalFormatting sqref="D50:E50">
    <cfRule type="cellIs" dxfId="3" priority="57" operator="notBetween">
      <formula>92</formula>
      <formula>100</formula>
    </cfRule>
  </conditionalFormatting>
  <conditionalFormatting sqref="D51:E51">
    <cfRule type="cellIs" dxfId="1" priority="58" operator="between">
      <formula>400</formula>
      <formula>600</formula>
    </cfRule>
  </conditionalFormatting>
  <conditionalFormatting sqref="D51:E51">
    <cfRule type="cellIs" dxfId="3" priority="59" operator="notBetween">
      <formula>400</formula>
      <formula>600</formula>
    </cfRule>
  </conditionalFormatting>
  <conditionalFormatting sqref="B35">
    <cfRule type="cellIs" dxfId="1" priority="60" operator="between">
      <formula>0</formula>
      <formula>20</formula>
    </cfRule>
  </conditionalFormatting>
  <conditionalFormatting sqref="B35">
    <cfRule type="cellIs" dxfId="7" priority="61" operator="between">
      <formula>20</formula>
      <formula>50</formula>
    </cfRule>
  </conditionalFormatting>
  <conditionalFormatting sqref="B35">
    <cfRule type="cellIs" dxfId="8" priority="62" operator="between">
      <formula>50</formula>
      <formula>100</formula>
    </cfRule>
  </conditionalFormatting>
  <conditionalFormatting sqref="P8:Q8">
    <cfRule type="cellIs" dxfId="1" priority="63" operator="between">
      <formula>13</formula>
      <formula>15</formula>
    </cfRule>
  </conditionalFormatting>
  <conditionalFormatting sqref="P8:Q8">
    <cfRule type="cellIs" dxfId="3" priority="64" operator="notBetween">
      <formula>13</formula>
      <formula>15</formula>
    </cfRule>
  </conditionalFormatting>
  <conditionalFormatting sqref="P9:Q9">
    <cfRule type="cellIs" dxfId="1" priority="65" operator="between">
      <formula>0</formula>
      <formula>-2</formula>
    </cfRule>
  </conditionalFormatting>
  <conditionalFormatting sqref="P9:Q9">
    <cfRule type="cellIs" dxfId="3" priority="66" operator="notBetween">
      <formula>0</formula>
      <formula>-2</formula>
    </cfRule>
  </conditionalFormatting>
  <conditionalFormatting sqref="L49:N49">
    <cfRule type="notContainsBlanks" dxfId="3" priority="67">
      <formula>LEN(TRIM(L49))&gt;0</formula>
    </cfRule>
  </conditionalFormatting>
  <conditionalFormatting sqref="B33">
    <cfRule type="cellIs" dxfId="8" priority="68" operator="lessThan">
      <formula>40</formula>
    </cfRule>
  </conditionalFormatting>
  <conditionalFormatting sqref="B33">
    <cfRule type="cellIs" dxfId="9" priority="69" operator="between">
      <formula>40</formula>
      <formula>60</formula>
    </cfRule>
  </conditionalFormatting>
  <conditionalFormatting sqref="B33">
    <cfRule type="cellIs" dxfId="1" priority="70" operator="greaterThan">
      <formula>60</formula>
    </cfRule>
  </conditionalFormatting>
  <conditionalFormatting sqref="K1:K2">
    <cfRule type="notContainsBlanks" dxfId="8" priority="71">
      <formula>LEN(TRIM(K1))&gt;0</formula>
    </cfRule>
  </conditionalFormatting>
  <conditionalFormatting sqref="L31:M31">
    <cfRule type="notContainsBlanks" dxfId="1" priority="72">
      <formula>LEN(TRIM(L31))&gt;0</formula>
    </cfRule>
  </conditionalFormatting>
  <conditionalFormatting sqref="E20">
    <cfRule type="cellIs" dxfId="8" priority="73" operator="greaterThanOrEqual">
      <formula>37.8</formula>
    </cfRule>
  </conditionalFormatting>
  <dataValidations>
    <dataValidation type="list" allowBlank="1" showErrorMessage="1" sqref="K9">
      <formula1>"MIDAZOLAM 2X,MIDAZOLAM 5X,FENTANIL 2X, FENTANIL 5X,TRIDIL 1X,DOBUTA 4X,PROPOFOL 5X,CETAMINA 2X,PRECEDEX 2X,ROCURONIO 5X"</formula1>
    </dataValidation>
    <dataValidation type="list" allowBlank="1" showErrorMessage="1" sqref="P20 L37 L39">
      <formula1>"SIM,NÃO"</formula1>
    </dataValidation>
    <dataValidation type="list" allowBlank="1" showErrorMessage="1" sqref="P49">
      <formula1>"N/A,I,II,III,IV,INCLASSIFICÁVEL"</formula1>
    </dataValidation>
    <dataValidation type="list" allowBlank="1" showErrorMessage="1" sqref="L29">
      <formula1>"N/A,GERAL,BRANDA,PASTOSA,LEVE,LÍQUIDA C/ RESÍDUO,ÁGUA, CHÁ GELATINA,DIBEN,HP ENERGI,ENERGI,DIAMAX"</formula1>
    </dataValidation>
    <dataValidation type="list" allowBlank="1" showErrorMessage="1" sqref="K16:K20">
      <formula1>"NORADRENALINA 4X,NORADRENALINA 8X,VASOPRESSINA 2X,NIPRID 1X, TRIDIL 1X,DOBUTAMINA 4X,DOPAMINA 5X,NIPRIDE X2"</formula1>
    </dataValidation>
    <dataValidation type="list" allowBlank="1" showErrorMessage="1" sqref="L22">
      <formula1>"TOT,TQT,VNI,CNO2,MNR,VENTURI,AA"</formula1>
    </dataValidation>
    <dataValidation type="list" allowBlank="1" showErrorMessage="1" sqref="L23">
      <formula1>"1ºdia,2ºdia,3ºdia,4ºdia,5ºdia"</formula1>
    </dataValidation>
    <dataValidation type="list" allowBlank="1" showErrorMessage="1" sqref="K10:K13">
      <formula1>"MIDAZOLAM,FENTANIL,PROPOFOL,CETAMINA,PRECEDEX,ROCURONIO"</formula1>
    </dataValidation>
    <dataValidation type="list" allowBlank="1" showErrorMessage="1" sqref="P19">
      <formula1>"SIM,NÃO,N/A"</formula1>
    </dataValidation>
    <dataValidation type="list" allowBlank="1" showErrorMessage="1" sqref="M42:M43 M45">
      <formula1>"SIM,NÃO,N/A"</formula1>
    </dataValidation>
    <dataValidation type="list" allowBlank="1" showErrorMessage="1" sqref="O29">
      <formula1>"N/A,ORAL,SNE,GTT,PARENTERAL"</formula1>
    </dataValidation>
    <dataValidation type="list" allowBlank="1" showErrorMessage="1" sqref="M47">
      <formula1>"SANGRAMENTO,AGUARDA CC,QUEDA HB,PLAQUETOPENIA"</formula1>
    </dataValidation>
    <dataValidation type="list" allowBlank="1" showErrorMessage="1" sqref="M44 M46 L51:L53">
      <formula1>"SIM,NÃO,N/A"</formula1>
    </dataValidation>
    <dataValidation type="list" allowBlank="1" showErrorMessage="1" sqref="P11:P13 P18 L31:L34 L36">
      <formula1>"SIM,NÃO,NA"</formula1>
    </dataValidation>
  </dataValidations>
  <printOptions gridLines="1" horizontalCentered="1"/>
  <pageMargins bottom="0.14871749934278886" footer="0.0" header="0.0" left="0.18589687417848605" right="0.18589687417848605" top="0.1858968741784860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0.63"/>
    <col customWidth="1" min="3" max="3" width="10.38"/>
    <col customWidth="1" min="4" max="4" width="8.88"/>
    <col customWidth="1" min="5" max="5" width="7.0"/>
    <col customWidth="1" min="6" max="6" width="7.13"/>
    <col customWidth="1" min="7" max="7" width="11.75"/>
    <col customWidth="1" min="8" max="8" width="9.13"/>
    <col customWidth="1" min="9" max="9" width="9.5"/>
    <col customWidth="1" min="10" max="10" width="9.38"/>
    <col customWidth="1" min="11" max="11" width="19.5"/>
    <col customWidth="1" min="12" max="12" width="10.63"/>
    <col customWidth="1" min="13" max="13" width="8.13"/>
    <col customWidth="1" min="14" max="14" width="7.0"/>
    <col customWidth="1" min="15" max="15" width="13.13"/>
    <col customWidth="1" min="16" max="16" width="6.0"/>
    <col customWidth="1" min="17" max="17" width="9.25"/>
    <col customWidth="1" min="18" max="18" width="25.63"/>
  </cols>
  <sheetData>
    <row r="1" ht="12.75" customHeight="1">
      <c r="A1" s="43" t="s">
        <v>24</v>
      </c>
      <c r="B1" s="44">
        <v>359245.0</v>
      </c>
      <c r="C1" s="45" t="s">
        <v>25</v>
      </c>
      <c r="D1" s="46" t="s">
        <v>250</v>
      </c>
      <c r="E1" s="47"/>
      <c r="F1" s="47"/>
      <c r="G1" s="48"/>
      <c r="H1" s="49" t="s">
        <v>4</v>
      </c>
      <c r="I1" s="50">
        <v>76.0</v>
      </c>
      <c r="J1" s="51" t="s">
        <v>251</v>
      </c>
      <c r="K1" s="52"/>
      <c r="L1" s="53" t="s">
        <v>28</v>
      </c>
      <c r="M1" s="54" t="s">
        <v>252</v>
      </c>
      <c r="N1" s="55"/>
      <c r="O1" s="55"/>
      <c r="P1" s="55"/>
      <c r="Q1" s="56"/>
      <c r="R1" s="57" t="s">
        <v>30</v>
      </c>
    </row>
    <row r="2" ht="31.5" customHeight="1">
      <c r="A2" s="58" t="s">
        <v>31</v>
      </c>
      <c r="B2" s="59">
        <v>45989.0</v>
      </c>
      <c r="C2" s="60" t="s">
        <v>32</v>
      </c>
      <c r="D2" s="290">
        <v>46001.916666666664</v>
      </c>
      <c r="E2" s="62" t="s">
        <v>33</v>
      </c>
      <c r="F2" s="63">
        <v>7.0</v>
      </c>
      <c r="G2" s="64" t="s">
        <v>34</v>
      </c>
      <c r="H2" s="239"/>
      <c r="I2" s="66"/>
      <c r="J2" s="67"/>
      <c r="K2" s="67"/>
      <c r="L2" s="67"/>
      <c r="M2" s="68"/>
      <c r="N2" s="69"/>
      <c r="O2" s="69"/>
      <c r="P2" s="69"/>
      <c r="Q2" s="70"/>
      <c r="R2" s="71">
        <v>2.0</v>
      </c>
    </row>
    <row r="3" ht="36.0" customHeight="1">
      <c r="A3" s="72" t="s">
        <v>35</v>
      </c>
      <c r="B3" s="73" t="s">
        <v>253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66"/>
      <c r="R3" s="75" t="s">
        <v>37</v>
      </c>
    </row>
    <row r="4" ht="30.75" customHeight="1">
      <c r="A4" s="72" t="s">
        <v>38</v>
      </c>
      <c r="B4" s="73" t="s">
        <v>254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66"/>
      <c r="R4" s="76">
        <f>TODAY()</f>
        <v>46009</v>
      </c>
    </row>
    <row r="5" ht="12.75" customHeight="1">
      <c r="A5" s="77" t="s">
        <v>40</v>
      </c>
      <c r="B5" s="78" t="s">
        <v>255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80"/>
      <c r="R5" s="81"/>
    </row>
    <row r="6" ht="12.75" customHeight="1">
      <c r="A6" s="82" t="s">
        <v>42</v>
      </c>
      <c r="B6" s="83"/>
      <c r="C6" s="82" t="s">
        <v>43</v>
      </c>
      <c r="D6" s="84"/>
      <c r="E6" s="84"/>
      <c r="F6" s="84"/>
      <c r="G6" s="84"/>
      <c r="H6" s="84"/>
      <c r="I6" s="84"/>
      <c r="J6" s="83"/>
      <c r="K6" s="85" t="s">
        <v>44</v>
      </c>
      <c r="L6" s="55"/>
      <c r="M6" s="55"/>
      <c r="N6" s="55"/>
      <c r="O6" s="55"/>
      <c r="P6" s="55"/>
      <c r="Q6" s="56"/>
      <c r="R6" s="86" t="s">
        <v>45</v>
      </c>
    </row>
    <row r="7" ht="12.75" customHeight="1">
      <c r="A7" s="87" t="s">
        <v>46</v>
      </c>
      <c r="B7" s="88"/>
      <c r="C7" s="89" t="s">
        <v>47</v>
      </c>
      <c r="D7" s="69"/>
      <c r="E7" s="69"/>
      <c r="F7" s="69"/>
      <c r="G7" s="69"/>
      <c r="H7" s="69"/>
      <c r="I7" s="69"/>
      <c r="J7" s="90"/>
      <c r="K7" s="91" t="s">
        <v>48</v>
      </c>
      <c r="L7" s="92"/>
      <c r="M7" s="92"/>
      <c r="N7" s="92"/>
      <c r="O7" s="92"/>
      <c r="P7" s="92"/>
      <c r="Q7" s="92"/>
      <c r="R7" s="93"/>
    </row>
    <row r="8" ht="12.75" customHeight="1">
      <c r="A8" s="94"/>
      <c r="B8" s="90"/>
      <c r="C8" s="95" t="s">
        <v>256</v>
      </c>
      <c r="D8" s="79"/>
      <c r="E8" s="79"/>
      <c r="F8" s="79"/>
      <c r="G8" s="79"/>
      <c r="H8" s="79"/>
      <c r="I8" s="79"/>
      <c r="J8" s="96"/>
      <c r="K8" s="97" t="s">
        <v>50</v>
      </c>
      <c r="L8" s="98" t="s">
        <v>51</v>
      </c>
      <c r="M8" s="98" t="s">
        <v>52</v>
      </c>
      <c r="N8" s="99" t="s">
        <v>53</v>
      </c>
      <c r="O8" s="100" t="s">
        <v>54</v>
      </c>
      <c r="P8" s="101">
        <v>3.0</v>
      </c>
      <c r="Q8" s="70"/>
      <c r="R8" s="102"/>
    </row>
    <row r="9" ht="12.75" customHeight="1">
      <c r="A9" s="103" t="s">
        <v>257</v>
      </c>
      <c r="B9" s="96"/>
      <c r="J9" s="88"/>
      <c r="K9" s="104" t="s">
        <v>258</v>
      </c>
      <c r="L9" s="105">
        <v>5.0</v>
      </c>
      <c r="M9" s="291">
        <v>46008.0</v>
      </c>
      <c r="N9" s="113"/>
      <c r="O9" s="108" t="s">
        <v>58</v>
      </c>
      <c r="P9" s="109">
        <v>-5.0</v>
      </c>
      <c r="Q9" s="66"/>
      <c r="R9" s="110"/>
    </row>
    <row r="10" ht="12.75" customHeight="1">
      <c r="A10" s="111"/>
      <c r="B10" s="88"/>
      <c r="J10" s="88"/>
      <c r="K10" s="104" t="s">
        <v>259</v>
      </c>
      <c r="L10" s="112">
        <v>1.0</v>
      </c>
      <c r="M10" s="292">
        <v>46008.0</v>
      </c>
      <c r="N10" s="113"/>
      <c r="O10" s="108" t="s">
        <v>59</v>
      </c>
      <c r="P10" s="109" t="s">
        <v>60</v>
      </c>
      <c r="Q10" s="66"/>
      <c r="R10" s="110"/>
    </row>
    <row r="11">
      <c r="A11" s="111"/>
      <c r="B11" s="88"/>
      <c r="J11" s="88"/>
      <c r="K11" s="104"/>
      <c r="L11" s="112"/>
      <c r="M11" s="112"/>
      <c r="N11" s="114"/>
      <c r="O11" s="115" t="s">
        <v>61</v>
      </c>
      <c r="P11" s="116" t="s">
        <v>65</v>
      </c>
      <c r="Q11" s="66"/>
      <c r="R11" s="110"/>
    </row>
    <row r="12">
      <c r="A12" s="111"/>
      <c r="B12" s="88"/>
      <c r="J12" s="88"/>
      <c r="K12" s="104"/>
      <c r="L12" s="112"/>
      <c r="M12" s="112"/>
      <c r="N12" s="113"/>
      <c r="O12" s="108" t="s">
        <v>63</v>
      </c>
      <c r="P12" s="116" t="s">
        <v>92</v>
      </c>
      <c r="Q12" s="66"/>
      <c r="R12" s="110"/>
    </row>
    <row r="13">
      <c r="A13" s="111"/>
      <c r="B13" s="88"/>
      <c r="C13" s="69"/>
      <c r="D13" s="69"/>
      <c r="E13" s="69"/>
      <c r="F13" s="69"/>
      <c r="G13" s="69"/>
      <c r="H13" s="69"/>
      <c r="I13" s="69"/>
      <c r="J13" s="90"/>
      <c r="K13" s="117"/>
      <c r="L13" s="118"/>
      <c r="M13" s="118"/>
      <c r="N13" s="119"/>
      <c r="O13" s="120" t="s">
        <v>64</v>
      </c>
      <c r="P13" s="121" t="s">
        <v>65</v>
      </c>
      <c r="Q13" s="80"/>
      <c r="R13" s="81"/>
    </row>
    <row r="14" ht="12.75" customHeight="1">
      <c r="A14" s="122" t="s">
        <v>66</v>
      </c>
      <c r="B14" s="123"/>
      <c r="C14" s="124" t="s">
        <v>67</v>
      </c>
      <c r="D14" s="47"/>
      <c r="E14" s="123"/>
      <c r="F14" s="124" t="s">
        <v>68</v>
      </c>
      <c r="G14" s="47"/>
      <c r="H14" s="123"/>
      <c r="I14" s="124" t="s">
        <v>69</v>
      </c>
      <c r="J14" s="123"/>
      <c r="K14" s="91" t="s">
        <v>70</v>
      </c>
      <c r="L14" s="92"/>
      <c r="M14" s="92"/>
      <c r="N14" s="92"/>
      <c r="O14" s="92"/>
      <c r="P14" s="92"/>
      <c r="Q14" s="92"/>
      <c r="R14" s="93"/>
    </row>
    <row r="15" ht="12.75" customHeight="1">
      <c r="A15" s="125" t="s">
        <v>71</v>
      </c>
      <c r="B15" s="126"/>
      <c r="C15" s="127" t="s">
        <v>72</v>
      </c>
      <c r="E15" s="128">
        <v>24.0</v>
      </c>
      <c r="F15" s="129" t="s">
        <v>37</v>
      </c>
      <c r="G15" s="130" t="s">
        <v>73</v>
      </c>
      <c r="H15" s="131" t="s">
        <v>74</v>
      </c>
      <c r="I15" s="132" t="s">
        <v>75</v>
      </c>
      <c r="J15" s="144">
        <v>75.0</v>
      </c>
      <c r="K15" s="97" t="s">
        <v>76</v>
      </c>
      <c r="L15" s="98" t="s">
        <v>51</v>
      </c>
      <c r="M15" s="98" t="s">
        <v>52</v>
      </c>
      <c r="N15" s="99" t="s">
        <v>53</v>
      </c>
      <c r="O15" s="134" t="s">
        <v>260</v>
      </c>
      <c r="P15" s="101">
        <v>80.0</v>
      </c>
      <c r="Q15" s="70"/>
      <c r="R15" s="102" t="s">
        <v>261</v>
      </c>
    </row>
    <row r="16" ht="12.75" customHeight="1">
      <c r="A16" s="135" t="s">
        <v>79</v>
      </c>
      <c r="B16" s="136" t="b">
        <v>0</v>
      </c>
      <c r="C16" s="137"/>
      <c r="D16" s="293" t="s">
        <v>80</v>
      </c>
      <c r="E16" s="293" t="s">
        <v>81</v>
      </c>
      <c r="F16" s="139"/>
      <c r="G16" s="112"/>
      <c r="H16" s="140"/>
      <c r="I16" s="141"/>
      <c r="J16" s="142"/>
      <c r="K16" s="104" t="s">
        <v>82</v>
      </c>
      <c r="L16" s="105">
        <v>26.0</v>
      </c>
      <c r="M16" s="106">
        <v>46008.0</v>
      </c>
      <c r="N16" s="107"/>
      <c r="O16" s="108" t="s">
        <v>83</v>
      </c>
      <c r="P16" s="109">
        <v>77.0</v>
      </c>
      <c r="Q16" s="66"/>
      <c r="R16" s="110"/>
    </row>
    <row r="17" ht="12.75" customHeight="1">
      <c r="A17" s="135" t="s">
        <v>84</v>
      </c>
      <c r="B17" s="136" t="b">
        <v>1</v>
      </c>
      <c r="C17" s="139" t="s">
        <v>262</v>
      </c>
      <c r="D17" s="294">
        <v>64.0</v>
      </c>
      <c r="E17" s="295">
        <v>112.0</v>
      </c>
      <c r="F17" s="139"/>
      <c r="G17" s="112"/>
      <c r="H17" s="140"/>
      <c r="I17" s="132" t="s">
        <v>86</v>
      </c>
      <c r="J17" s="144"/>
      <c r="K17" s="104" t="s">
        <v>88</v>
      </c>
      <c r="L17" s="105">
        <v>6.0</v>
      </c>
      <c r="M17" s="296">
        <v>46008.0</v>
      </c>
      <c r="N17" s="107"/>
      <c r="O17" s="108" t="s">
        <v>89</v>
      </c>
      <c r="P17" s="109">
        <v>4.0</v>
      </c>
      <c r="Q17" s="66"/>
      <c r="R17" s="110"/>
    </row>
    <row r="18" ht="12.75" customHeight="1">
      <c r="A18" s="146" t="s">
        <v>90</v>
      </c>
      <c r="B18" s="147" t="b">
        <v>0</v>
      </c>
      <c r="C18" s="297" t="s">
        <v>83</v>
      </c>
      <c r="D18" s="143">
        <v>74.0</v>
      </c>
      <c r="E18" s="298">
        <v>121.0</v>
      </c>
      <c r="F18" s="139"/>
      <c r="G18" s="112"/>
      <c r="H18" s="140"/>
      <c r="I18" s="141"/>
      <c r="J18" s="142"/>
      <c r="K18" s="104" t="s">
        <v>263</v>
      </c>
      <c r="L18" s="105" t="s">
        <v>264</v>
      </c>
      <c r="M18" s="296">
        <v>46002.0</v>
      </c>
      <c r="N18" s="299">
        <v>46003.0</v>
      </c>
      <c r="O18" s="149" t="s">
        <v>91</v>
      </c>
      <c r="P18" s="116" t="s">
        <v>92</v>
      </c>
      <c r="Q18" s="66"/>
      <c r="R18" s="110"/>
    </row>
    <row r="19" ht="12.75" customHeight="1">
      <c r="A19" s="122" t="s">
        <v>93</v>
      </c>
      <c r="B19" s="123"/>
      <c r="C19" s="297" t="s">
        <v>94</v>
      </c>
      <c r="D19" s="143">
        <v>18.0</v>
      </c>
      <c r="E19" s="298">
        <v>21.0</v>
      </c>
      <c r="F19" s="139"/>
      <c r="G19" s="112"/>
      <c r="H19" s="140"/>
      <c r="I19" s="132" t="s">
        <v>95</v>
      </c>
      <c r="J19" s="150" t="s">
        <v>265</v>
      </c>
      <c r="K19" s="104"/>
      <c r="L19" s="105"/>
      <c r="M19" s="112"/>
      <c r="N19" s="148"/>
      <c r="O19" s="149" t="s">
        <v>96</v>
      </c>
      <c r="P19" s="116" t="s">
        <v>92</v>
      </c>
      <c r="Q19" s="66"/>
      <c r="R19" s="110"/>
    </row>
    <row r="20" ht="12.75" customHeight="1">
      <c r="A20" s="135" t="s">
        <v>97</v>
      </c>
      <c r="B20" s="136" t="b">
        <v>0</v>
      </c>
      <c r="C20" s="297" t="s">
        <v>98</v>
      </c>
      <c r="D20" s="300">
        <v>36.6</v>
      </c>
      <c r="E20" s="298">
        <v>37.8</v>
      </c>
      <c r="F20" s="152" t="s">
        <v>99</v>
      </c>
      <c r="G20" s="74"/>
      <c r="H20" s="126"/>
      <c r="I20" s="141"/>
      <c r="J20" s="142"/>
      <c r="K20" s="117"/>
      <c r="L20" s="153"/>
      <c r="M20" s="118"/>
      <c r="N20" s="119"/>
      <c r="O20" s="120" t="s">
        <v>100</v>
      </c>
      <c r="P20" s="121" t="s">
        <v>65</v>
      </c>
      <c r="Q20" s="80"/>
      <c r="R20" s="81"/>
    </row>
    <row r="21" ht="12.75" customHeight="1">
      <c r="A21" s="135" t="s">
        <v>101</v>
      </c>
      <c r="B21" s="136" t="b">
        <v>0</v>
      </c>
      <c r="C21" s="297" t="s">
        <v>102</v>
      </c>
      <c r="D21" s="143">
        <v>94.0</v>
      </c>
      <c r="E21" s="298">
        <v>97.0</v>
      </c>
      <c r="F21" s="154"/>
      <c r="G21" s="66"/>
      <c r="H21" s="140"/>
      <c r="I21" s="152" t="s">
        <v>104</v>
      </c>
      <c r="J21" s="126"/>
      <c r="K21" s="91" t="s">
        <v>105</v>
      </c>
      <c r="L21" s="92"/>
      <c r="M21" s="92"/>
      <c r="N21" s="92"/>
      <c r="O21" s="92"/>
      <c r="P21" s="92"/>
      <c r="Q21" s="92"/>
      <c r="R21" s="93"/>
    </row>
    <row r="22" ht="12.75" customHeight="1">
      <c r="A22" s="146" t="s">
        <v>106</v>
      </c>
      <c r="B22" s="147" t="b">
        <v>1</v>
      </c>
      <c r="C22" s="297" t="s">
        <v>107</v>
      </c>
      <c r="D22" s="143">
        <v>169.0</v>
      </c>
      <c r="E22" s="298">
        <v>180.0</v>
      </c>
      <c r="F22" s="154"/>
      <c r="G22" s="66"/>
      <c r="H22" s="140"/>
      <c r="I22" s="155">
        <v>46008.0</v>
      </c>
      <c r="J22" s="96"/>
      <c r="K22" s="301" t="s">
        <v>108</v>
      </c>
      <c r="L22" s="302" t="s">
        <v>230</v>
      </c>
      <c r="M22" s="303" t="s">
        <v>110</v>
      </c>
      <c r="N22" s="304" t="s">
        <v>266</v>
      </c>
      <c r="O22" s="160" t="s">
        <v>111</v>
      </c>
      <c r="P22" s="157">
        <v>24.0</v>
      </c>
      <c r="Q22" s="161" t="s">
        <v>267</v>
      </c>
      <c r="R22" s="102" t="s">
        <v>268</v>
      </c>
    </row>
    <row r="23" ht="12.75" customHeight="1">
      <c r="A23" s="122" t="s">
        <v>114</v>
      </c>
      <c r="B23" s="123"/>
      <c r="C23" s="297"/>
      <c r="D23" s="143"/>
      <c r="E23" s="298"/>
      <c r="F23" s="164"/>
      <c r="G23" s="165"/>
      <c r="H23" s="163"/>
      <c r="I23" s="166"/>
      <c r="J23" s="167"/>
      <c r="K23" s="168" t="s">
        <v>115</v>
      </c>
      <c r="L23" s="169"/>
      <c r="M23" s="170" t="s">
        <v>94</v>
      </c>
      <c r="N23" s="169">
        <v>18.0</v>
      </c>
      <c r="O23" s="170" t="s">
        <v>116</v>
      </c>
      <c r="P23" s="169"/>
      <c r="Q23" s="171"/>
      <c r="R23" s="110"/>
    </row>
    <row r="24" ht="12.75" customHeight="1">
      <c r="A24" s="103" t="s">
        <v>269</v>
      </c>
      <c r="B24" s="96"/>
      <c r="C24" s="122" t="s">
        <v>118</v>
      </c>
      <c r="D24" s="47"/>
      <c r="E24" s="123"/>
      <c r="F24" s="172" t="s">
        <v>119</v>
      </c>
      <c r="G24" s="47"/>
      <c r="H24" s="47"/>
      <c r="I24" s="47"/>
      <c r="J24" s="123"/>
      <c r="K24" s="168" t="s">
        <v>120</v>
      </c>
      <c r="L24" s="169"/>
      <c r="M24" s="170" t="s">
        <v>121</v>
      </c>
      <c r="N24" s="169">
        <v>35.0</v>
      </c>
      <c r="O24" s="170" t="s">
        <v>122</v>
      </c>
      <c r="P24" s="169">
        <v>19.0</v>
      </c>
      <c r="Q24" s="173" t="s">
        <v>123</v>
      </c>
      <c r="R24" s="110"/>
    </row>
    <row r="25" ht="12.75" customHeight="1">
      <c r="A25" s="111"/>
      <c r="B25" s="88"/>
      <c r="C25" s="174"/>
      <c r="D25" s="175" t="s">
        <v>124</v>
      </c>
      <c r="E25" s="176" t="s">
        <v>125</v>
      </c>
      <c r="F25" s="177" t="s">
        <v>37</v>
      </c>
      <c r="G25" s="178" t="s">
        <v>126</v>
      </c>
      <c r="H25" s="179" t="s">
        <v>127</v>
      </c>
      <c r="I25" s="74"/>
      <c r="J25" s="126"/>
      <c r="K25" s="168" t="s">
        <v>128</v>
      </c>
      <c r="L25" s="169"/>
      <c r="M25" s="170" t="s">
        <v>129</v>
      </c>
      <c r="N25" s="169">
        <v>6.0</v>
      </c>
      <c r="O25" s="170" t="s">
        <v>130</v>
      </c>
      <c r="P25" s="169">
        <v>17.0</v>
      </c>
      <c r="Q25" s="171" t="s">
        <v>270</v>
      </c>
      <c r="R25" s="110"/>
    </row>
    <row r="26" ht="12.75" customHeight="1">
      <c r="A26" s="111"/>
      <c r="B26" s="88"/>
      <c r="C26" s="135" t="s">
        <v>132</v>
      </c>
      <c r="D26" s="136">
        <v>8.9</v>
      </c>
      <c r="E26" s="136">
        <v>9.0</v>
      </c>
      <c r="F26" s="305">
        <v>46002.0</v>
      </c>
      <c r="G26" s="182" t="s">
        <v>271</v>
      </c>
      <c r="H26" s="183" t="s">
        <v>272</v>
      </c>
      <c r="I26" s="74"/>
      <c r="J26" s="126"/>
      <c r="K26" s="168" t="s">
        <v>135</v>
      </c>
      <c r="L26" s="184"/>
      <c r="M26" s="170" t="s">
        <v>136</v>
      </c>
      <c r="N26" s="169">
        <v>390.0</v>
      </c>
      <c r="O26" s="170" t="s">
        <v>137</v>
      </c>
      <c r="P26" s="169"/>
      <c r="Q26" s="173" t="s">
        <v>138</v>
      </c>
      <c r="R26" s="110"/>
    </row>
    <row r="27" ht="17.25" customHeight="1">
      <c r="A27" s="111"/>
      <c r="B27" s="88"/>
      <c r="C27" s="135" t="s">
        <v>139</v>
      </c>
      <c r="D27" s="136">
        <v>29.0</v>
      </c>
      <c r="E27" s="136">
        <v>27.0</v>
      </c>
      <c r="F27" s="305">
        <v>46001.0</v>
      </c>
      <c r="G27" s="182" t="s">
        <v>273</v>
      </c>
      <c r="H27" s="187"/>
      <c r="I27" s="74"/>
      <c r="J27" s="126"/>
      <c r="K27" s="188" t="s">
        <v>140</v>
      </c>
      <c r="L27" s="189">
        <v>30.0</v>
      </c>
      <c r="M27" s="190" t="s">
        <v>141</v>
      </c>
      <c r="N27" s="189"/>
      <c r="O27" s="190" t="s">
        <v>142</v>
      </c>
      <c r="P27" s="189"/>
      <c r="Q27" s="180" t="s">
        <v>274</v>
      </c>
      <c r="R27" s="81"/>
    </row>
    <row r="28" ht="12.75" customHeight="1">
      <c r="A28" s="166"/>
      <c r="B28" s="167"/>
      <c r="C28" s="135" t="s">
        <v>143</v>
      </c>
      <c r="D28" s="191">
        <v>11.0</v>
      </c>
      <c r="E28" s="191">
        <v>19.0</v>
      </c>
      <c r="F28" s="305">
        <v>46004.0</v>
      </c>
      <c r="G28" s="182" t="s">
        <v>273</v>
      </c>
      <c r="H28" s="187"/>
      <c r="I28" s="74"/>
      <c r="J28" s="126"/>
      <c r="K28" s="91" t="s">
        <v>144</v>
      </c>
      <c r="L28" s="92"/>
      <c r="M28" s="92"/>
      <c r="N28" s="92"/>
      <c r="O28" s="92"/>
      <c r="P28" s="92"/>
      <c r="Q28" s="92"/>
      <c r="R28" s="93"/>
    </row>
    <row r="29" ht="12.75" customHeight="1">
      <c r="A29" s="124" t="s">
        <v>145</v>
      </c>
      <c r="B29" s="123"/>
      <c r="C29" s="135" t="s">
        <v>146</v>
      </c>
      <c r="D29" s="191"/>
      <c r="E29" s="191"/>
      <c r="F29" s="305">
        <v>46008.0</v>
      </c>
      <c r="G29" s="182" t="s">
        <v>275</v>
      </c>
      <c r="H29" s="187"/>
      <c r="I29" s="74"/>
      <c r="J29" s="126"/>
      <c r="K29" s="192" t="s">
        <v>5</v>
      </c>
      <c r="L29" s="193" t="s">
        <v>276</v>
      </c>
      <c r="M29" s="70"/>
      <c r="N29" s="194" t="s">
        <v>148</v>
      </c>
      <c r="O29" s="195" t="s">
        <v>103</v>
      </c>
      <c r="P29" s="196" t="s">
        <v>149</v>
      </c>
      <c r="Q29" s="306">
        <v>97.2</v>
      </c>
      <c r="R29" s="102" t="s">
        <v>277</v>
      </c>
    </row>
    <row r="30" ht="12.75" customHeight="1">
      <c r="A30" s="139" t="s">
        <v>151</v>
      </c>
      <c r="B30" s="140" t="s">
        <v>278</v>
      </c>
      <c r="C30" s="135" t="s">
        <v>153</v>
      </c>
      <c r="D30" s="136">
        <v>62.0</v>
      </c>
      <c r="E30" s="136">
        <v>40.0</v>
      </c>
      <c r="F30" s="185"/>
      <c r="G30" s="186"/>
      <c r="H30" s="187"/>
      <c r="I30" s="74"/>
      <c r="J30" s="126"/>
      <c r="K30" s="199" t="s">
        <v>154</v>
      </c>
      <c r="L30" s="113">
        <v>0.0</v>
      </c>
      <c r="M30" s="173" t="s">
        <v>156</v>
      </c>
      <c r="N30" s="66"/>
      <c r="O30" s="169" t="s">
        <v>279</v>
      </c>
      <c r="P30" s="200" t="s">
        <v>158</v>
      </c>
      <c r="Q30" s="201" t="s">
        <v>159</v>
      </c>
      <c r="R30" s="110"/>
    </row>
    <row r="31" ht="12.75" customHeight="1">
      <c r="A31" s="139" t="s">
        <v>160</v>
      </c>
      <c r="B31" s="140" t="s">
        <v>280</v>
      </c>
      <c r="C31" s="135" t="s">
        <v>162</v>
      </c>
      <c r="D31" s="136">
        <v>52.0</v>
      </c>
      <c r="E31" s="136">
        <v>72.0</v>
      </c>
      <c r="F31" s="139"/>
      <c r="G31" s="112"/>
      <c r="H31" s="187"/>
      <c r="I31" s="74"/>
      <c r="J31" s="126"/>
      <c r="K31" s="168" t="s">
        <v>163</v>
      </c>
      <c r="L31" s="202" t="s">
        <v>92</v>
      </c>
      <c r="M31" s="66"/>
      <c r="N31" s="203" t="s">
        <v>281</v>
      </c>
      <c r="O31" s="79"/>
      <c r="P31" s="79"/>
      <c r="Q31" s="80"/>
      <c r="R31" s="110"/>
    </row>
    <row r="32" ht="12.75" customHeight="1">
      <c r="A32" s="139" t="s">
        <v>165</v>
      </c>
      <c r="B32" s="140" t="s">
        <v>282</v>
      </c>
      <c r="C32" s="135" t="s">
        <v>167</v>
      </c>
      <c r="D32" s="136"/>
      <c r="E32" s="136"/>
      <c r="F32" s="139"/>
      <c r="G32" s="112"/>
      <c r="H32" s="187"/>
      <c r="I32" s="74"/>
      <c r="J32" s="126"/>
      <c r="K32" s="204" t="s">
        <v>168</v>
      </c>
      <c r="L32" s="116" t="s">
        <v>92</v>
      </c>
      <c r="M32" s="66"/>
      <c r="N32" s="205"/>
      <c r="Q32" s="206"/>
      <c r="R32" s="110"/>
    </row>
    <row r="33" ht="12.75" customHeight="1">
      <c r="A33" s="135" t="s">
        <v>169</v>
      </c>
      <c r="B33" s="136">
        <v>90.0</v>
      </c>
      <c r="C33" s="135" t="s">
        <v>170</v>
      </c>
      <c r="D33" s="136">
        <v>163.0</v>
      </c>
      <c r="E33" s="136">
        <v>162.0</v>
      </c>
      <c r="F33" s="139"/>
      <c r="G33" s="112"/>
      <c r="H33" s="187"/>
      <c r="I33" s="74"/>
      <c r="J33" s="126"/>
      <c r="K33" s="204" t="s">
        <v>171</v>
      </c>
      <c r="L33" s="116" t="s">
        <v>65</v>
      </c>
      <c r="M33" s="66"/>
      <c r="N33" s="205"/>
      <c r="Q33" s="206"/>
      <c r="R33" s="110"/>
    </row>
    <row r="34" ht="12.75" customHeight="1">
      <c r="A34" s="174" t="s">
        <v>172</v>
      </c>
      <c r="B34" s="136">
        <v>54.0</v>
      </c>
      <c r="C34" s="135" t="s">
        <v>173</v>
      </c>
      <c r="D34" s="136">
        <v>2.4</v>
      </c>
      <c r="E34" s="136"/>
      <c r="F34" s="207"/>
      <c r="G34" s="162"/>
      <c r="H34" s="208"/>
      <c r="I34" s="209"/>
      <c r="J34" s="210"/>
      <c r="K34" s="211" t="s">
        <v>174</v>
      </c>
      <c r="L34" s="121" t="s">
        <v>65</v>
      </c>
      <c r="M34" s="80"/>
      <c r="N34" s="68"/>
      <c r="O34" s="69"/>
      <c r="P34" s="69"/>
      <c r="Q34" s="70"/>
      <c r="R34" s="81"/>
    </row>
    <row r="35" ht="12.75" customHeight="1">
      <c r="A35" s="212" t="s">
        <v>175</v>
      </c>
      <c r="B35" s="147">
        <v>33.1</v>
      </c>
      <c r="C35" s="135" t="s">
        <v>176</v>
      </c>
      <c r="D35" s="136">
        <v>1.3</v>
      </c>
      <c r="E35" s="136"/>
      <c r="F35" s="124" t="s">
        <v>177</v>
      </c>
      <c r="G35" s="47"/>
      <c r="H35" s="47"/>
      <c r="I35" s="47"/>
      <c r="J35" s="123"/>
      <c r="K35" s="91" t="s">
        <v>178</v>
      </c>
      <c r="L35" s="92"/>
      <c r="M35" s="92"/>
      <c r="N35" s="92"/>
      <c r="O35" s="92"/>
      <c r="P35" s="92"/>
      <c r="Q35" s="92"/>
      <c r="R35" s="93"/>
    </row>
    <row r="36" ht="18.75" customHeight="1">
      <c r="A36" s="213" t="s">
        <v>179</v>
      </c>
      <c r="B36" s="123"/>
      <c r="C36" s="135" t="s">
        <v>180</v>
      </c>
      <c r="D36" s="225"/>
      <c r="E36" s="136"/>
      <c r="F36" s="129" t="s">
        <v>37</v>
      </c>
      <c r="G36" s="130" t="s">
        <v>126</v>
      </c>
      <c r="H36" s="214" t="s">
        <v>127</v>
      </c>
      <c r="I36" s="74"/>
      <c r="J36" s="126"/>
      <c r="K36" s="215" t="s">
        <v>181</v>
      </c>
      <c r="L36" s="216" t="s">
        <v>92</v>
      </c>
      <c r="M36" s="70"/>
      <c r="N36" s="217" t="s">
        <v>182</v>
      </c>
      <c r="Q36" s="206"/>
      <c r="R36" s="102" t="s">
        <v>283</v>
      </c>
    </row>
    <row r="37" ht="12.75" customHeight="1">
      <c r="A37" s="218" t="s">
        <v>284</v>
      </c>
      <c r="B37" s="96"/>
      <c r="C37" s="135" t="s">
        <v>185</v>
      </c>
      <c r="D37" s="219"/>
      <c r="E37" s="220"/>
      <c r="F37" s="222">
        <v>46001.0</v>
      </c>
      <c r="G37" s="112" t="s">
        <v>285</v>
      </c>
      <c r="H37" s="307" t="s">
        <v>286</v>
      </c>
      <c r="I37" s="74"/>
      <c r="J37" s="126"/>
      <c r="K37" s="204" t="s">
        <v>188</v>
      </c>
      <c r="L37" s="116" t="s">
        <v>65</v>
      </c>
      <c r="M37" s="66"/>
      <c r="N37" s="205"/>
      <c r="Q37" s="206"/>
      <c r="R37" s="110"/>
    </row>
    <row r="38" ht="12.75" customHeight="1">
      <c r="A38" s="111"/>
      <c r="B38" s="88"/>
      <c r="C38" s="135" t="s">
        <v>189</v>
      </c>
      <c r="D38" s="219"/>
      <c r="E38" s="220"/>
      <c r="F38" s="222">
        <v>46001.0</v>
      </c>
      <c r="G38" s="112" t="s">
        <v>287</v>
      </c>
      <c r="H38" s="308" t="s">
        <v>288</v>
      </c>
      <c r="I38" s="74"/>
      <c r="J38" s="126"/>
      <c r="K38" s="223" t="s">
        <v>190</v>
      </c>
      <c r="L38" s="224">
        <f>(J15/Q29)/E15</f>
        <v>0.03215020576</v>
      </c>
      <c r="M38" s="66"/>
      <c r="N38" s="205"/>
      <c r="Q38" s="206"/>
      <c r="R38" s="110"/>
    </row>
    <row r="39" ht="12.75" customHeight="1">
      <c r="A39" s="111"/>
      <c r="B39" s="88"/>
      <c r="C39" s="135" t="s">
        <v>191</v>
      </c>
      <c r="D39" s="219"/>
      <c r="E39" s="220"/>
      <c r="F39" s="222">
        <v>46003.0</v>
      </c>
      <c r="G39" s="112" t="s">
        <v>289</v>
      </c>
      <c r="H39" s="116" t="s">
        <v>290</v>
      </c>
      <c r="I39" s="74"/>
      <c r="J39" s="126"/>
      <c r="K39" s="204" t="s">
        <v>192</v>
      </c>
      <c r="L39" s="116" t="s">
        <v>92</v>
      </c>
      <c r="M39" s="66"/>
      <c r="N39" s="205"/>
      <c r="Q39" s="206"/>
      <c r="R39" s="110"/>
    </row>
    <row r="40" ht="12.75" customHeight="1">
      <c r="A40" s="111"/>
      <c r="B40" s="88"/>
      <c r="C40" s="135" t="s">
        <v>193</v>
      </c>
      <c r="D40" s="219"/>
      <c r="E40" s="220"/>
      <c r="F40" s="222">
        <v>46005.0</v>
      </c>
      <c r="G40" s="112" t="s">
        <v>291</v>
      </c>
      <c r="H40" s="116" t="s">
        <v>292</v>
      </c>
      <c r="I40" s="74"/>
      <c r="J40" s="126"/>
      <c r="K40" s="211" t="s">
        <v>194</v>
      </c>
      <c r="L40" s="121"/>
      <c r="M40" s="80"/>
      <c r="N40" s="68"/>
      <c r="O40" s="69"/>
      <c r="P40" s="69"/>
      <c r="Q40" s="70"/>
      <c r="R40" s="81"/>
    </row>
    <row r="41" ht="12.75" customHeight="1">
      <c r="A41" s="111"/>
      <c r="B41" s="88"/>
      <c r="C41" s="135" t="s">
        <v>195</v>
      </c>
      <c r="D41" s="225"/>
      <c r="E41" s="220"/>
      <c r="F41" s="309">
        <v>45705.0</v>
      </c>
      <c r="G41" s="112" t="s">
        <v>293</v>
      </c>
      <c r="H41" s="116"/>
      <c r="I41" s="74"/>
      <c r="J41" s="126"/>
      <c r="K41" s="91" t="s">
        <v>196</v>
      </c>
      <c r="L41" s="92"/>
      <c r="M41" s="92"/>
      <c r="N41" s="92"/>
      <c r="O41" s="92"/>
      <c r="P41" s="92"/>
      <c r="Q41" s="92"/>
      <c r="R41" s="93"/>
    </row>
    <row r="42" ht="12.75" customHeight="1">
      <c r="A42" s="111"/>
      <c r="B42" s="88"/>
      <c r="C42" s="310" t="s">
        <v>197</v>
      </c>
      <c r="D42" s="227"/>
      <c r="E42" s="228"/>
      <c r="F42" s="207"/>
      <c r="G42" s="162"/>
      <c r="H42" s="229"/>
      <c r="I42" s="209"/>
      <c r="J42" s="210"/>
      <c r="K42" s="230" t="s">
        <v>198</v>
      </c>
      <c r="L42" s="70"/>
      <c r="M42" s="231" t="s">
        <v>65</v>
      </c>
      <c r="N42" s="70"/>
      <c r="O42" s="232" t="s">
        <v>199</v>
      </c>
      <c r="P42" s="232" t="s">
        <v>200</v>
      </c>
      <c r="Q42" s="233" t="s">
        <v>53</v>
      </c>
      <c r="R42" s="102" t="s">
        <v>294</v>
      </c>
    </row>
    <row r="43" ht="19.5" customHeight="1">
      <c r="A43" s="111"/>
      <c r="B43" s="88"/>
      <c r="C43" s="234" t="s">
        <v>202</v>
      </c>
      <c r="D43" s="235"/>
      <c r="E43" s="236"/>
      <c r="F43" s="237" t="s">
        <v>203</v>
      </c>
      <c r="G43" s="47"/>
      <c r="H43" s="47"/>
      <c r="I43" s="47"/>
      <c r="J43" s="123"/>
      <c r="K43" s="238" t="s">
        <v>204</v>
      </c>
      <c r="L43" s="66"/>
      <c r="M43" s="239" t="s">
        <v>92</v>
      </c>
      <c r="N43" s="66"/>
      <c r="O43" s="240" t="s">
        <v>295</v>
      </c>
      <c r="P43" s="241">
        <v>46002.0</v>
      </c>
      <c r="Q43" s="242">
        <v>46004.0</v>
      </c>
      <c r="R43" s="110"/>
    </row>
    <row r="44" ht="12.75" customHeight="1">
      <c r="A44" s="111"/>
      <c r="B44" s="88"/>
      <c r="C44" s="243" t="s">
        <v>296</v>
      </c>
      <c r="D44" s="244"/>
      <c r="E44" s="245">
        <v>0.06944444444444445</v>
      </c>
      <c r="F44" s="246" t="s">
        <v>126</v>
      </c>
      <c r="G44" s="247" t="s">
        <v>206</v>
      </c>
      <c r="H44" s="178" t="s">
        <v>207</v>
      </c>
      <c r="I44" s="178" t="s">
        <v>208</v>
      </c>
      <c r="J44" s="248" t="s">
        <v>209</v>
      </c>
      <c r="K44" s="238" t="s">
        <v>210</v>
      </c>
      <c r="L44" s="66"/>
      <c r="M44" s="239" t="s">
        <v>92</v>
      </c>
      <c r="N44" s="66"/>
      <c r="O44" s="249" t="s">
        <v>297</v>
      </c>
      <c r="P44" s="250">
        <v>46002.0</v>
      </c>
      <c r="Q44" s="251">
        <v>46004.0</v>
      </c>
      <c r="R44" s="110"/>
    </row>
    <row r="45" ht="12.75" customHeight="1">
      <c r="A45" s="111"/>
      <c r="B45" s="88"/>
      <c r="C45" s="243" t="s">
        <v>212</v>
      </c>
      <c r="D45" s="252">
        <v>7.39</v>
      </c>
      <c r="E45" s="253">
        <v>7.38</v>
      </c>
      <c r="F45" s="254" t="s">
        <v>213</v>
      </c>
      <c r="G45" s="112" t="s">
        <v>298</v>
      </c>
      <c r="H45" s="112"/>
      <c r="I45" s="311">
        <v>46000.0</v>
      </c>
      <c r="J45" s="140"/>
      <c r="K45" s="238" t="s">
        <v>215</v>
      </c>
      <c r="L45" s="66"/>
      <c r="M45" s="239" t="s">
        <v>92</v>
      </c>
      <c r="N45" s="66"/>
      <c r="O45" s="240" t="s">
        <v>205</v>
      </c>
      <c r="P45" s="256">
        <v>46004.0</v>
      </c>
      <c r="Q45" s="257">
        <v>46008.0</v>
      </c>
      <c r="R45" s="110"/>
    </row>
    <row r="46" ht="12.75" customHeight="1">
      <c r="A46" s="111"/>
      <c r="B46" s="88"/>
      <c r="C46" s="243" t="s">
        <v>217</v>
      </c>
      <c r="D46" s="252">
        <v>41.0</v>
      </c>
      <c r="E46" s="253">
        <v>38.0</v>
      </c>
      <c r="F46" s="254" t="s">
        <v>299</v>
      </c>
      <c r="G46" s="112" t="s">
        <v>300</v>
      </c>
      <c r="H46" s="112"/>
      <c r="I46" s="296">
        <v>45989.0</v>
      </c>
      <c r="J46" s="312">
        <v>46007.0</v>
      </c>
      <c r="K46" s="238" t="s">
        <v>220</v>
      </c>
      <c r="L46" s="66"/>
      <c r="M46" s="239" t="s">
        <v>92</v>
      </c>
      <c r="N46" s="66"/>
      <c r="O46" s="240" t="s">
        <v>301</v>
      </c>
      <c r="P46" s="256">
        <v>46008.0</v>
      </c>
      <c r="Q46" s="258"/>
      <c r="R46" s="110"/>
    </row>
    <row r="47" ht="12.75" customHeight="1">
      <c r="A47" s="111"/>
      <c r="B47" s="88"/>
      <c r="C47" s="243" t="s">
        <v>222</v>
      </c>
      <c r="D47" s="252">
        <v>31.0</v>
      </c>
      <c r="E47" s="253">
        <v>72.0</v>
      </c>
      <c r="F47" s="254" t="s">
        <v>302</v>
      </c>
      <c r="G47" s="112"/>
      <c r="H47" s="112"/>
      <c r="I47" s="292">
        <v>46008.0</v>
      </c>
      <c r="J47" s="140"/>
      <c r="K47" s="260" t="s">
        <v>225</v>
      </c>
      <c r="L47" s="80"/>
      <c r="M47" s="121" t="s">
        <v>303</v>
      </c>
      <c r="N47" s="80"/>
      <c r="O47" s="261" t="s">
        <v>211</v>
      </c>
      <c r="P47" s="313">
        <v>46008.0</v>
      </c>
      <c r="Q47" s="262"/>
      <c r="R47" s="81"/>
    </row>
    <row r="48" ht="12.75" customHeight="1">
      <c r="A48" s="111"/>
      <c r="B48" s="88"/>
      <c r="C48" s="243" t="s">
        <v>226</v>
      </c>
      <c r="D48" s="252">
        <v>24.0</v>
      </c>
      <c r="E48" s="253">
        <v>22.0</v>
      </c>
      <c r="F48" s="254" t="s">
        <v>304</v>
      </c>
      <c r="G48" s="112"/>
      <c r="H48" s="112">
        <v>24.0</v>
      </c>
      <c r="I48" s="145">
        <v>46008.0</v>
      </c>
      <c r="J48" s="263"/>
      <c r="K48" s="91" t="s">
        <v>228</v>
      </c>
      <c r="L48" s="92"/>
      <c r="M48" s="92"/>
      <c r="N48" s="92"/>
      <c r="O48" s="92"/>
      <c r="P48" s="92"/>
      <c r="Q48" s="92"/>
      <c r="R48" s="93"/>
    </row>
    <row r="49" ht="12.75" customHeight="1">
      <c r="A49" s="111"/>
      <c r="B49" s="88"/>
      <c r="C49" s="243" t="s">
        <v>229</v>
      </c>
      <c r="D49" s="252">
        <v>-0.6</v>
      </c>
      <c r="E49" s="253">
        <v>-2.5</v>
      </c>
      <c r="F49" s="254"/>
      <c r="G49" s="112"/>
      <c r="H49" s="112"/>
      <c r="I49" s="112"/>
      <c r="J49" s="140"/>
      <c r="K49" s="192" t="s">
        <v>232</v>
      </c>
      <c r="L49" s="193" t="s">
        <v>305</v>
      </c>
      <c r="M49" s="69"/>
      <c r="N49" s="70"/>
      <c r="O49" s="194" t="s">
        <v>234</v>
      </c>
      <c r="P49" s="265" t="s">
        <v>306</v>
      </c>
      <c r="Q49" s="70"/>
      <c r="R49" s="102" t="s">
        <v>307</v>
      </c>
    </row>
    <row r="50" ht="12.75" customHeight="1">
      <c r="A50" s="111"/>
      <c r="B50" s="88"/>
      <c r="C50" s="243" t="s">
        <v>237</v>
      </c>
      <c r="D50" s="314">
        <v>0.6</v>
      </c>
      <c r="E50" s="253">
        <v>94.0</v>
      </c>
      <c r="F50" s="254"/>
      <c r="G50" s="112"/>
      <c r="H50" s="112"/>
      <c r="I50" s="112"/>
      <c r="J50" s="140"/>
      <c r="K50" s="266" t="s">
        <v>238</v>
      </c>
      <c r="L50" s="267" t="s">
        <v>308</v>
      </c>
      <c r="M50" s="66"/>
      <c r="N50" s="268" t="s">
        <v>240</v>
      </c>
      <c r="O50" s="66"/>
      <c r="P50" s="269" t="s">
        <v>309</v>
      </c>
      <c r="Q50" s="66"/>
      <c r="R50" s="110"/>
    </row>
    <row r="51" ht="12.75" customHeight="1">
      <c r="A51" s="111"/>
      <c r="B51" s="88"/>
      <c r="C51" s="243" t="s">
        <v>241</v>
      </c>
      <c r="D51" s="252"/>
      <c r="E51" s="253">
        <v>205.0</v>
      </c>
      <c r="F51" s="270"/>
      <c r="G51" s="259"/>
      <c r="H51" s="259"/>
      <c r="I51" s="259"/>
      <c r="J51" s="140"/>
      <c r="K51" s="266" t="s">
        <v>242</v>
      </c>
      <c r="L51" s="267" t="s">
        <v>65</v>
      </c>
      <c r="M51" s="66"/>
      <c r="N51" s="271" t="s">
        <v>310</v>
      </c>
      <c r="O51" s="79"/>
      <c r="P51" s="79"/>
      <c r="Q51" s="80"/>
      <c r="R51" s="110"/>
    </row>
    <row r="52" ht="12.75" customHeight="1">
      <c r="A52" s="111"/>
      <c r="B52" s="88"/>
      <c r="C52" s="243"/>
      <c r="D52" s="252"/>
      <c r="E52" s="253"/>
      <c r="F52" s="254"/>
      <c r="G52" s="112"/>
      <c r="H52" s="112"/>
      <c r="I52" s="112"/>
      <c r="J52" s="263"/>
      <c r="K52" s="266" t="s">
        <v>244</v>
      </c>
      <c r="L52" s="267" t="s">
        <v>65</v>
      </c>
      <c r="M52" s="66"/>
      <c r="N52" s="205"/>
      <c r="Q52" s="206"/>
      <c r="R52" s="110"/>
    </row>
    <row r="53" ht="12.75" customHeight="1">
      <c r="A53" s="111"/>
      <c r="B53" s="88"/>
      <c r="C53" s="272" t="s">
        <v>245</v>
      </c>
      <c r="D53" s="273"/>
      <c r="E53" s="274"/>
      <c r="F53" s="254"/>
      <c r="G53" s="112"/>
      <c r="H53" s="112"/>
      <c r="I53" s="112"/>
      <c r="J53" s="263"/>
      <c r="K53" s="266" t="s">
        <v>246</v>
      </c>
      <c r="L53" s="267" t="s">
        <v>65</v>
      </c>
      <c r="M53" s="66"/>
      <c r="N53" s="205"/>
      <c r="Q53" s="206"/>
      <c r="R53" s="110"/>
    </row>
    <row r="54" ht="12.75" customHeight="1">
      <c r="A54" s="166"/>
      <c r="B54" s="167"/>
      <c r="C54" s="275"/>
      <c r="D54" s="276"/>
      <c r="E54" s="277"/>
      <c r="F54" s="278"/>
      <c r="G54" s="118"/>
      <c r="H54" s="118"/>
      <c r="I54" s="118"/>
      <c r="J54" s="279"/>
      <c r="K54" s="188" t="s">
        <v>247</v>
      </c>
      <c r="L54" s="180">
        <v>0.0</v>
      </c>
      <c r="M54" s="80"/>
      <c r="N54" s="280"/>
      <c r="O54" s="281"/>
      <c r="P54" s="281"/>
      <c r="Q54" s="282"/>
      <c r="R54" s="81"/>
    </row>
    <row r="55" ht="18.75" customHeight="1">
      <c r="A55" s="283" t="s">
        <v>248</v>
      </c>
      <c r="B55" s="315" t="s">
        <v>311</v>
      </c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285"/>
      <c r="Q55" s="285"/>
      <c r="R55" s="286"/>
    </row>
    <row r="56" ht="18.75" customHeight="1">
      <c r="A56" s="287"/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8"/>
      <c r="P56" s="288"/>
      <c r="Q56" s="288"/>
      <c r="R56" s="289"/>
    </row>
  </sheetData>
  <mergeCells count="126">
    <mergeCell ref="B4:Q4"/>
    <mergeCell ref="B5:Q5"/>
    <mergeCell ref="A6:B6"/>
    <mergeCell ref="C6:J6"/>
    <mergeCell ref="K6:Q6"/>
    <mergeCell ref="R8:R13"/>
    <mergeCell ref="P13:Q13"/>
    <mergeCell ref="K14:R14"/>
    <mergeCell ref="C8:J13"/>
    <mergeCell ref="C14:E14"/>
    <mergeCell ref="F14:H14"/>
    <mergeCell ref="I14:J14"/>
    <mergeCell ref="C15:D15"/>
    <mergeCell ref="I15:I16"/>
    <mergeCell ref="J15:J16"/>
    <mergeCell ref="I21:J21"/>
    <mergeCell ref="I22:J23"/>
    <mergeCell ref="I17:I18"/>
    <mergeCell ref="J17:J18"/>
    <mergeCell ref="I19:I20"/>
    <mergeCell ref="J19:J20"/>
    <mergeCell ref="F20:H20"/>
    <mergeCell ref="F21:G21"/>
    <mergeCell ref="F22:G22"/>
    <mergeCell ref="F23:G23"/>
    <mergeCell ref="A24:B28"/>
    <mergeCell ref="A29:B29"/>
    <mergeCell ref="A36:B36"/>
    <mergeCell ref="A37:B54"/>
    <mergeCell ref="C43:E43"/>
    <mergeCell ref="A55:A56"/>
    <mergeCell ref="A7:B8"/>
    <mergeCell ref="A9:B13"/>
    <mergeCell ref="A14:B14"/>
    <mergeCell ref="A15:B15"/>
    <mergeCell ref="A19:B19"/>
    <mergeCell ref="A23:B23"/>
    <mergeCell ref="C24:E24"/>
    <mergeCell ref="P19:Q19"/>
    <mergeCell ref="P20:Q20"/>
    <mergeCell ref="K21:R21"/>
    <mergeCell ref="F24:J24"/>
    <mergeCell ref="H25:J25"/>
    <mergeCell ref="H26:J26"/>
    <mergeCell ref="H27:J27"/>
    <mergeCell ref="H28:J28"/>
    <mergeCell ref="K28:R28"/>
    <mergeCell ref="H29:J29"/>
    <mergeCell ref="L29:M29"/>
    <mergeCell ref="H30:J30"/>
    <mergeCell ref="M30:N30"/>
    <mergeCell ref="H31:J31"/>
    <mergeCell ref="H34:J34"/>
    <mergeCell ref="F35:J35"/>
    <mergeCell ref="H36:J36"/>
    <mergeCell ref="L36:M36"/>
    <mergeCell ref="L31:M31"/>
    <mergeCell ref="H32:J32"/>
    <mergeCell ref="L32:M32"/>
    <mergeCell ref="H33:J33"/>
    <mergeCell ref="L33:M33"/>
    <mergeCell ref="L34:M34"/>
    <mergeCell ref="K35:R35"/>
    <mergeCell ref="D1:G1"/>
    <mergeCell ref="J1:J2"/>
    <mergeCell ref="K1:K2"/>
    <mergeCell ref="L1:L2"/>
    <mergeCell ref="M1:Q2"/>
    <mergeCell ref="H2:I2"/>
    <mergeCell ref="B3:Q3"/>
    <mergeCell ref="C7:J7"/>
    <mergeCell ref="K7:R7"/>
    <mergeCell ref="R4:R5"/>
    <mergeCell ref="P8:Q8"/>
    <mergeCell ref="P9:Q9"/>
    <mergeCell ref="P10:Q10"/>
    <mergeCell ref="R22:R27"/>
    <mergeCell ref="R29:R34"/>
    <mergeCell ref="R36:R40"/>
    <mergeCell ref="P11:Q11"/>
    <mergeCell ref="P12:Q12"/>
    <mergeCell ref="P15:Q15"/>
    <mergeCell ref="R15:R20"/>
    <mergeCell ref="P16:Q16"/>
    <mergeCell ref="P17:Q17"/>
    <mergeCell ref="P18:Q18"/>
    <mergeCell ref="L40:M40"/>
    <mergeCell ref="K41:R41"/>
    <mergeCell ref="F43:J43"/>
    <mergeCell ref="N51:Q54"/>
    <mergeCell ref="L52:M52"/>
    <mergeCell ref="L53:M53"/>
    <mergeCell ref="L54:M54"/>
    <mergeCell ref="B55:R56"/>
    <mergeCell ref="K47:L47"/>
    <mergeCell ref="M47:N47"/>
    <mergeCell ref="L49:N49"/>
    <mergeCell ref="P49:Q49"/>
    <mergeCell ref="R49:R54"/>
    <mergeCell ref="N50:O50"/>
    <mergeCell ref="P50:Q50"/>
    <mergeCell ref="N31:Q34"/>
    <mergeCell ref="N36:Q40"/>
    <mergeCell ref="H37:J37"/>
    <mergeCell ref="L37:M37"/>
    <mergeCell ref="H38:J38"/>
    <mergeCell ref="L38:M38"/>
    <mergeCell ref="L39:M39"/>
    <mergeCell ref="K43:L43"/>
    <mergeCell ref="M43:N43"/>
    <mergeCell ref="K44:L44"/>
    <mergeCell ref="M44:N44"/>
    <mergeCell ref="K45:L45"/>
    <mergeCell ref="M45:N45"/>
    <mergeCell ref="K46:L46"/>
    <mergeCell ref="M46:N46"/>
    <mergeCell ref="H39:J39"/>
    <mergeCell ref="H40:J40"/>
    <mergeCell ref="H41:J41"/>
    <mergeCell ref="H42:J42"/>
    <mergeCell ref="K42:L42"/>
    <mergeCell ref="M42:N42"/>
    <mergeCell ref="R42:R47"/>
    <mergeCell ref="K48:R48"/>
    <mergeCell ref="L50:M50"/>
    <mergeCell ref="L51:M51"/>
  </mergeCells>
  <conditionalFormatting sqref="H2">
    <cfRule type="cellIs" dxfId="0" priority="1" operator="lessThanOrEqual">
      <formula>1</formula>
    </cfRule>
  </conditionalFormatting>
  <conditionalFormatting sqref="P16:Q16">
    <cfRule type="cellIs" dxfId="1" priority="2" operator="between">
      <formula>60</formula>
      <formula>100</formula>
    </cfRule>
  </conditionalFormatting>
  <conditionalFormatting sqref="P16:Q16">
    <cfRule type="cellIs" dxfId="2" priority="3" operator="notBetween">
      <formula>60</formula>
      <formula>100</formula>
    </cfRule>
  </conditionalFormatting>
  <conditionalFormatting sqref="P15:Q15">
    <cfRule type="cellIs" dxfId="1" priority="4" operator="between">
      <formula>60</formula>
      <formula>100</formula>
    </cfRule>
  </conditionalFormatting>
  <conditionalFormatting sqref="P15:Q15">
    <cfRule type="cellIs" dxfId="3" priority="5" operator="notBetween">
      <formula>60</formula>
      <formula>100</formula>
    </cfRule>
  </conditionalFormatting>
  <conditionalFormatting sqref="P17:Q17">
    <cfRule type="cellIs" dxfId="1" priority="6" operator="between">
      <formula>1</formula>
      <formula>3</formula>
    </cfRule>
  </conditionalFormatting>
  <conditionalFormatting sqref="P17:Q17">
    <cfRule type="cellIs" dxfId="3" priority="7" operator="notBetween">
      <formula>1</formula>
      <formula>3</formula>
    </cfRule>
  </conditionalFormatting>
  <conditionalFormatting sqref="N23">
    <cfRule type="cellIs" dxfId="1" priority="8" operator="between">
      <formula>12</formula>
      <formula>20</formula>
    </cfRule>
  </conditionalFormatting>
  <conditionalFormatting sqref="N23">
    <cfRule type="cellIs" dxfId="3" priority="9" operator="notBetween">
      <formula>12</formula>
      <formula>20</formula>
    </cfRule>
  </conditionalFormatting>
  <conditionalFormatting sqref="N24">
    <cfRule type="cellIs" dxfId="1" priority="10" operator="between">
      <formula>21</formula>
      <formula>45</formula>
    </cfRule>
  </conditionalFormatting>
  <conditionalFormatting sqref="N24">
    <cfRule type="cellIs" dxfId="3" priority="11" operator="notBetween">
      <formula>21</formula>
      <formula>45</formula>
    </cfRule>
  </conditionalFormatting>
  <conditionalFormatting sqref="N25">
    <cfRule type="cellIs" dxfId="1" priority="12" operator="between">
      <formula>3</formula>
      <formula>10</formula>
    </cfRule>
  </conditionalFormatting>
  <conditionalFormatting sqref="N25">
    <cfRule type="cellIs" dxfId="3" priority="13" operator="notBetween">
      <formula>3</formula>
      <formula>10</formula>
    </cfRule>
  </conditionalFormatting>
  <conditionalFormatting sqref="L25:L27">
    <cfRule type="cellIs" dxfId="1" priority="14" operator="between">
      <formula>20</formula>
      <formula>35</formula>
    </cfRule>
  </conditionalFormatting>
  <conditionalFormatting sqref="L25:L27">
    <cfRule type="cellIs" dxfId="3" priority="15" operator="notBetween">
      <formula>20</formula>
      <formula>35</formula>
    </cfRule>
  </conditionalFormatting>
  <conditionalFormatting sqref="D17:E17">
    <cfRule type="cellIs" dxfId="4" priority="16" operator="between">
      <formula>60</formula>
      <formula>100</formula>
    </cfRule>
  </conditionalFormatting>
  <conditionalFormatting sqref="D17:E17">
    <cfRule type="cellIs" dxfId="5" priority="17" operator="notBetween">
      <formula>60</formula>
      <formula>90</formula>
    </cfRule>
  </conditionalFormatting>
  <conditionalFormatting sqref="D18">
    <cfRule type="cellIs" dxfId="4" priority="18" operator="between">
      <formula>60</formula>
      <formula>100</formula>
    </cfRule>
  </conditionalFormatting>
  <conditionalFormatting sqref="D18">
    <cfRule type="cellIs" dxfId="5" priority="19" operator="notBetween">
      <formula>60</formula>
      <formula>100</formula>
    </cfRule>
  </conditionalFormatting>
  <conditionalFormatting sqref="E18">
    <cfRule type="cellIs" dxfId="4" priority="20" operator="between">
      <formula>60</formula>
      <formula>100</formula>
    </cfRule>
  </conditionalFormatting>
  <conditionalFormatting sqref="E18">
    <cfRule type="cellIs" dxfId="6" priority="21" operator="notBetween">
      <formula>60</formula>
      <formula>100</formula>
    </cfRule>
  </conditionalFormatting>
  <conditionalFormatting sqref="D19:E19">
    <cfRule type="cellIs" dxfId="4" priority="22" operator="between">
      <formula>12</formula>
      <formula>20</formula>
    </cfRule>
  </conditionalFormatting>
  <conditionalFormatting sqref="D19:E19">
    <cfRule type="cellIs" dxfId="5" priority="23" operator="notBetween">
      <formula>12</formula>
      <formula>20</formula>
    </cfRule>
  </conditionalFormatting>
  <conditionalFormatting sqref="D20:E20">
    <cfRule type="cellIs" dxfId="4" priority="24" operator="between">
      <formula>35</formula>
      <formula>37.7</formula>
    </cfRule>
  </conditionalFormatting>
  <conditionalFormatting sqref="D20:E20">
    <cfRule type="cellIs" dxfId="5" priority="25" operator="notBetween">
      <formula>35</formula>
      <formula>37.7</formula>
    </cfRule>
  </conditionalFormatting>
  <conditionalFormatting sqref="D21:E21">
    <cfRule type="cellIs" dxfId="4" priority="26" operator="between">
      <formula>92</formula>
      <formula>100</formula>
    </cfRule>
  </conditionalFormatting>
  <conditionalFormatting sqref="D21:E21">
    <cfRule type="cellIs" dxfId="5" priority="27" operator="notBetween">
      <formula>92</formula>
      <formula>100</formula>
    </cfRule>
  </conditionalFormatting>
  <conditionalFormatting sqref="D20:E23">
    <cfRule type="cellIs" dxfId="4" priority="28" operator="between">
      <formula>80</formula>
      <formula>180</formula>
    </cfRule>
  </conditionalFormatting>
  <conditionalFormatting sqref="D20:E23">
    <cfRule type="cellIs" dxfId="5" priority="29" operator="notBetween">
      <formula>80</formula>
      <formula>180</formula>
    </cfRule>
  </conditionalFormatting>
  <conditionalFormatting sqref="J15:J16">
    <cfRule type="cellIs" dxfId="1" priority="30" operator="between">
      <formula>500</formula>
      <formula>2500</formula>
    </cfRule>
  </conditionalFormatting>
  <conditionalFormatting sqref="J15:J16">
    <cfRule type="cellIs" dxfId="3" priority="31" operator="notBetween">
      <formula>500</formula>
      <formula>2500</formula>
    </cfRule>
  </conditionalFormatting>
  <conditionalFormatting sqref="D26:E26">
    <cfRule type="cellIs" dxfId="1" priority="32" operator="between">
      <formula>7</formula>
      <formula>16</formula>
    </cfRule>
  </conditionalFormatting>
  <conditionalFormatting sqref="D26:E26">
    <cfRule type="cellIs" dxfId="3" priority="33" operator="notBetween">
      <formula>7</formula>
      <formula>16</formula>
    </cfRule>
  </conditionalFormatting>
  <conditionalFormatting sqref="D28:E28">
    <cfRule type="cellIs" dxfId="1" priority="34" operator="between">
      <formula>4000</formula>
      <formula>12000</formula>
    </cfRule>
  </conditionalFormatting>
  <conditionalFormatting sqref="D28:E28">
    <cfRule type="cellIs" dxfId="3" priority="35" operator="notBetween">
      <formula>4000</formula>
      <formula>12000</formula>
    </cfRule>
  </conditionalFormatting>
  <conditionalFormatting sqref="D29:E29">
    <cfRule type="cellIs" dxfId="1" priority="36" operator="between">
      <formula>150000</formula>
      <formula>500000</formula>
    </cfRule>
  </conditionalFormatting>
  <conditionalFormatting sqref="D29:E29">
    <cfRule type="cellIs" dxfId="3" priority="37" operator="notBetween">
      <formula>150000</formula>
      <formula>500000</formula>
    </cfRule>
  </conditionalFormatting>
  <conditionalFormatting sqref="D31:E31">
    <cfRule type="cellIs" dxfId="1" priority="38" operator="between">
      <formula>10</formula>
      <formula>45</formula>
    </cfRule>
  </conditionalFormatting>
  <conditionalFormatting sqref="D31:E31">
    <cfRule type="cellIs" dxfId="3" priority="39" operator="notBetween">
      <formula>10</formula>
      <formula>45</formula>
    </cfRule>
  </conditionalFormatting>
  <conditionalFormatting sqref="D32:E32">
    <cfRule type="cellIs" dxfId="1" priority="40" operator="between">
      <formula>0.5</formula>
      <formula>1.4</formula>
    </cfRule>
  </conditionalFormatting>
  <conditionalFormatting sqref="D32:E32">
    <cfRule type="cellIs" dxfId="3" priority="41" operator="notBetween">
      <formula>0.5</formula>
      <formula>1.4</formula>
    </cfRule>
  </conditionalFormatting>
  <conditionalFormatting sqref="D33:E33">
    <cfRule type="cellIs" dxfId="1" priority="42" operator="between">
      <formula>135</formula>
      <formula>145</formula>
    </cfRule>
  </conditionalFormatting>
  <conditionalFormatting sqref="D33:E33">
    <cfRule type="cellIs" dxfId="3" priority="43" operator="notBetween">
      <formula>135</formula>
      <formula>145</formula>
    </cfRule>
  </conditionalFormatting>
  <conditionalFormatting sqref="D34:E34">
    <cfRule type="cellIs" dxfId="1" priority="44" operator="between">
      <formula>3.5</formula>
      <formula>5.5</formula>
    </cfRule>
  </conditionalFormatting>
  <conditionalFormatting sqref="D34:E34">
    <cfRule type="cellIs" dxfId="3" priority="45" operator="notBetween">
      <formula>3.5</formula>
      <formula>5.5</formula>
    </cfRule>
  </conditionalFormatting>
  <conditionalFormatting sqref="D38:E38">
    <cfRule type="cellIs" dxfId="1" priority="46" operator="between">
      <formula>0</formula>
      <formula>0.1</formula>
    </cfRule>
  </conditionalFormatting>
  <conditionalFormatting sqref="D38:E38">
    <cfRule type="cellIs" dxfId="3" priority="47" operator="notBetween">
      <formula>0</formula>
      <formula>0.1</formula>
    </cfRule>
  </conditionalFormatting>
  <conditionalFormatting sqref="D45:E45">
    <cfRule type="cellIs" dxfId="1" priority="48" operator="between">
      <formula>7.35</formula>
      <formula>7.45</formula>
    </cfRule>
  </conditionalFormatting>
  <conditionalFormatting sqref="D45:E45">
    <cfRule type="cellIs" dxfId="3" priority="49" operator="notBetween">
      <formula>7.35</formula>
      <formula>7.45</formula>
    </cfRule>
  </conditionalFormatting>
  <conditionalFormatting sqref="D46:E46">
    <cfRule type="cellIs" dxfId="1" priority="50" operator="between">
      <formula>35</formula>
      <formula>45</formula>
    </cfRule>
  </conditionalFormatting>
  <conditionalFormatting sqref="D46:E46">
    <cfRule type="cellIs" dxfId="3" priority="51" operator="notBetween">
      <formula>35</formula>
      <formula>45</formula>
    </cfRule>
  </conditionalFormatting>
  <conditionalFormatting sqref="D47:E47">
    <cfRule type="cellIs" dxfId="1" priority="52" operator="between">
      <formula>60</formula>
      <formula>100</formula>
    </cfRule>
  </conditionalFormatting>
  <conditionalFormatting sqref="D47:E47">
    <cfRule type="cellIs" dxfId="3" priority="53" operator="notBetween">
      <formula>60</formula>
      <formula>100</formula>
    </cfRule>
  </conditionalFormatting>
  <conditionalFormatting sqref="D48:E48">
    <cfRule type="cellIs" dxfId="1" priority="54" operator="between">
      <formula>18</formula>
      <formula>30</formula>
    </cfRule>
  </conditionalFormatting>
  <conditionalFormatting sqref="D48:E48">
    <cfRule type="cellIs" dxfId="3" priority="55" operator="notBetween">
      <formula>18</formula>
      <formula>30</formula>
    </cfRule>
  </conditionalFormatting>
  <conditionalFormatting sqref="D49:E49">
    <cfRule type="cellIs" dxfId="1" priority="56" operator="between">
      <formula>-2</formula>
      <formula>2</formula>
    </cfRule>
  </conditionalFormatting>
  <conditionalFormatting sqref="D49:E49">
    <cfRule type="cellIs" dxfId="3" priority="57" operator="notBetween">
      <formula>-2</formula>
      <formula>2</formula>
    </cfRule>
  </conditionalFormatting>
  <conditionalFormatting sqref="D50:E50">
    <cfRule type="cellIs" dxfId="1" priority="58" operator="between">
      <formula>92</formula>
      <formula>100</formula>
    </cfRule>
  </conditionalFormatting>
  <conditionalFormatting sqref="D50:E50">
    <cfRule type="cellIs" dxfId="3" priority="59" operator="notBetween">
      <formula>92</formula>
      <formula>100</formula>
    </cfRule>
  </conditionalFormatting>
  <conditionalFormatting sqref="D51:E51">
    <cfRule type="cellIs" dxfId="1" priority="60" operator="between">
      <formula>400</formula>
      <formula>600</formula>
    </cfRule>
  </conditionalFormatting>
  <conditionalFormatting sqref="D51:E51">
    <cfRule type="cellIs" dxfId="3" priority="61" operator="notBetween">
      <formula>400</formula>
      <formula>600</formula>
    </cfRule>
  </conditionalFormatting>
  <conditionalFormatting sqref="B35">
    <cfRule type="cellIs" dxfId="1" priority="62" operator="between">
      <formula>0</formula>
      <formula>20</formula>
    </cfRule>
  </conditionalFormatting>
  <conditionalFormatting sqref="B35">
    <cfRule type="cellIs" dxfId="7" priority="63" operator="between">
      <formula>20</formula>
      <formula>50</formula>
    </cfRule>
  </conditionalFormatting>
  <conditionalFormatting sqref="B35">
    <cfRule type="cellIs" dxfId="8" priority="64" operator="between">
      <formula>50</formula>
      <formula>100</formula>
    </cfRule>
  </conditionalFormatting>
  <conditionalFormatting sqref="P8:Q8">
    <cfRule type="cellIs" dxfId="1" priority="65" operator="between">
      <formula>13</formula>
      <formula>15</formula>
    </cfRule>
  </conditionalFormatting>
  <conditionalFormatting sqref="P8:Q8">
    <cfRule type="cellIs" dxfId="3" priority="66" operator="notBetween">
      <formula>13</formula>
      <formula>15</formula>
    </cfRule>
  </conditionalFormatting>
  <conditionalFormatting sqref="P9:Q9">
    <cfRule type="cellIs" dxfId="1" priority="67" operator="between">
      <formula>0</formula>
      <formula>-2</formula>
    </cfRule>
  </conditionalFormatting>
  <conditionalFormatting sqref="P9:Q9">
    <cfRule type="cellIs" dxfId="3" priority="68" operator="notBetween">
      <formula>0</formula>
      <formula>-2</formula>
    </cfRule>
  </conditionalFormatting>
  <conditionalFormatting sqref="L49:N49">
    <cfRule type="notContainsBlanks" dxfId="3" priority="69">
      <formula>LEN(TRIM(L49))&gt;0</formula>
    </cfRule>
  </conditionalFormatting>
  <conditionalFormatting sqref="B33">
    <cfRule type="cellIs" dxfId="8" priority="70" operator="lessThan">
      <formula>40</formula>
    </cfRule>
  </conditionalFormatting>
  <conditionalFormatting sqref="B33">
    <cfRule type="cellIs" dxfId="9" priority="71" operator="between">
      <formula>40</formula>
      <formula>60</formula>
    </cfRule>
  </conditionalFormatting>
  <conditionalFormatting sqref="B33">
    <cfRule type="cellIs" dxfId="1" priority="72" operator="greaterThan">
      <formula>60</formula>
    </cfRule>
  </conditionalFormatting>
  <conditionalFormatting sqref="K1:K2">
    <cfRule type="notContainsBlanks" dxfId="8" priority="73">
      <formula>LEN(TRIM(K1))&gt;0</formula>
    </cfRule>
  </conditionalFormatting>
  <dataValidations>
    <dataValidation type="list" allowBlank="1" showErrorMessage="1" sqref="K9">
      <formula1>"MIDAZOLAM 2X,MIDAZOLAM 5X,FENTANIL 2X, FENTANIL 5X,TRIDIL 1X,DOBUTA 4X,PROPOFOL 5X,CETAMINA 2X,PRECEDEX 2X,ROCURONIO 5X"</formula1>
    </dataValidation>
    <dataValidation type="list" allowBlank="1" showErrorMessage="1" sqref="P20 L37 L39">
      <formula1>"SIM,NÃO"</formula1>
    </dataValidation>
    <dataValidation type="list" allowBlank="1" showErrorMessage="1" sqref="P49">
      <formula1>"N/A,I,II,III,IV,INCLASSIFICÁVEL"</formula1>
    </dataValidation>
    <dataValidation type="list" allowBlank="1" showErrorMessage="1" sqref="K16:K20">
      <formula1>"NORADRENALINA 4X,NORADRENALINA 8X,VASOPRESSINA 2X,NIPRID 1X, TRIDIL 1X,DOBUTAMINA 4X,DOPAMINA 5X,NIPRIDE X2"</formula1>
    </dataValidation>
    <dataValidation type="list" allowBlank="1" showErrorMessage="1" sqref="L22">
      <formula1>"TOT,TQT,VNI,CNO2,MNR,VENTURI,AA"</formula1>
    </dataValidation>
    <dataValidation type="list" allowBlank="1" showErrorMessage="1" sqref="P11:P13 P18 L31:L34 L36">
      <formula1>"SIM,NÃO"</formula1>
    </dataValidation>
    <dataValidation type="list" allowBlank="1" showErrorMessage="1" sqref="L23">
      <formula1>"1ºdia,2ºdia,3ºdia,4ºdia,5ºdia"</formula1>
    </dataValidation>
    <dataValidation type="list" allowBlank="1" showErrorMessage="1" sqref="K10:K13">
      <formula1>"MIDAZOLAM,FENTANIL,PROPOFOL,CETAMINA,PRECEDEX,ROCURONIO"</formula1>
    </dataValidation>
    <dataValidation type="list" allowBlank="1" showErrorMessage="1" sqref="P19">
      <formula1>"SIM,NÃO,N/A"</formula1>
    </dataValidation>
    <dataValidation type="list" allowBlank="1" showErrorMessage="1" sqref="M42:M43 M45">
      <formula1>"SIM,NÃO,N/A"</formula1>
    </dataValidation>
    <dataValidation type="list" allowBlank="1" showErrorMessage="1" sqref="O29">
      <formula1>"N/A,ORAL,SNE,GTT,PARENTERAL"</formula1>
    </dataValidation>
    <dataValidation type="list" allowBlank="1" showErrorMessage="1" sqref="L29">
      <formula1>"N/A,GERAL,BRANDA,PASTOSA,LEVE,LÍQUIDA C/ RESÍDUO,ÁGUA, CHÁ GELATINA,DIBEN 1.5KCAL,HP ENERGI,ENERGI,DIAMAX,JEJUM"</formula1>
    </dataValidation>
    <dataValidation type="list" allowBlank="1" showErrorMessage="1" sqref="M47">
      <formula1>"SANGRAMENTO,AGUARDA CC,QUEDA HB,PLAQUETOPENIA"</formula1>
    </dataValidation>
    <dataValidation type="list" allowBlank="1" showErrorMessage="1" sqref="M44 M46 L51:L53">
      <formula1>"SIM,NÃO,N/A"</formula1>
    </dataValidation>
  </dataValidations>
  <hyperlinks>
    <hyperlink r:id="rId1" ref="H37"/>
    <hyperlink r:id="rId2" ref="H38"/>
  </hyperlinks>
  <printOptions gridLines="1" horizontalCentered="1"/>
  <pageMargins bottom="0.14871749934278886" footer="0.0" header="0.0" left="0.18589687417848605" right="0.18589687417848605" top="0.18589687417848605"/>
  <pageSetup paperSize="9" cellComments="atEnd" orientation="landscape" pageOrder="overThenDown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0.63"/>
    <col customWidth="1" min="3" max="3" width="10.38"/>
    <col customWidth="1" min="4" max="4" width="9.25"/>
    <col customWidth="1" min="5" max="5" width="7.0"/>
    <col customWidth="1" min="6" max="6" width="9.63"/>
    <col customWidth="1" min="7" max="7" width="8.63"/>
    <col customWidth="1" min="8" max="8" width="9.13"/>
    <col customWidth="1" min="9" max="9" width="9.5"/>
    <col customWidth="1" min="10" max="10" width="9.38"/>
    <col customWidth="1" min="11" max="11" width="19.5"/>
    <col customWidth="1" min="12" max="12" width="9.75"/>
    <col customWidth="1" min="13" max="13" width="8.13"/>
    <col customWidth="1" min="14" max="14" width="7.0"/>
    <col customWidth="1" min="15" max="15" width="13.13"/>
    <col customWidth="1" min="16" max="16" width="6.0"/>
    <col customWidth="1" min="17" max="17" width="9.25"/>
    <col customWidth="1" min="18" max="18" width="25.63"/>
  </cols>
  <sheetData>
    <row r="1" ht="12.75" customHeight="1">
      <c r="A1" s="43" t="s">
        <v>24</v>
      </c>
      <c r="B1" s="44">
        <v>202183.0</v>
      </c>
      <c r="C1" s="45" t="s">
        <v>25</v>
      </c>
      <c r="D1" s="46" t="s">
        <v>312</v>
      </c>
      <c r="E1" s="47"/>
      <c r="F1" s="47"/>
      <c r="G1" s="48"/>
      <c r="H1" s="49" t="s">
        <v>4</v>
      </c>
      <c r="I1" s="50">
        <v>63.0</v>
      </c>
      <c r="J1" s="51" t="s">
        <v>313</v>
      </c>
      <c r="K1" s="52" t="s">
        <v>314</v>
      </c>
      <c r="L1" s="53" t="s">
        <v>28</v>
      </c>
      <c r="M1" s="54" t="s">
        <v>315</v>
      </c>
      <c r="N1" s="55"/>
      <c r="O1" s="55"/>
      <c r="P1" s="55"/>
      <c r="Q1" s="56"/>
      <c r="R1" s="57" t="s">
        <v>30</v>
      </c>
    </row>
    <row r="2" ht="30.75" customHeight="1">
      <c r="A2" s="58" t="s">
        <v>31</v>
      </c>
      <c r="B2" s="59">
        <v>46008.0</v>
      </c>
      <c r="C2" s="60" t="s">
        <v>32</v>
      </c>
      <c r="D2" s="316">
        <v>46008.0</v>
      </c>
      <c r="E2" s="62" t="s">
        <v>33</v>
      </c>
      <c r="F2" s="63"/>
      <c r="G2" s="64" t="s">
        <v>34</v>
      </c>
      <c r="H2" s="239"/>
      <c r="I2" s="66"/>
      <c r="J2" s="67"/>
      <c r="K2" s="67"/>
      <c r="L2" s="67"/>
      <c r="M2" s="68"/>
      <c r="N2" s="69"/>
      <c r="O2" s="69"/>
      <c r="P2" s="69"/>
      <c r="Q2" s="70"/>
      <c r="R2" s="71">
        <v>3.0</v>
      </c>
    </row>
    <row r="3" ht="36.0" customHeight="1">
      <c r="A3" s="72" t="s">
        <v>35</v>
      </c>
      <c r="B3" s="73" t="s">
        <v>316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66"/>
      <c r="R3" s="75" t="s">
        <v>37</v>
      </c>
    </row>
    <row r="4" ht="30.75" customHeight="1">
      <c r="A4" s="72" t="s">
        <v>38</v>
      </c>
      <c r="B4" s="239" t="s">
        <v>317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66"/>
      <c r="R4" s="76">
        <f>TODAY()</f>
        <v>46009</v>
      </c>
    </row>
    <row r="5" ht="12.75" customHeight="1">
      <c r="A5" s="77" t="s">
        <v>40</v>
      </c>
      <c r="B5" s="317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80"/>
      <c r="R5" s="81"/>
    </row>
    <row r="6" ht="12.75" customHeight="1">
      <c r="A6" s="82" t="s">
        <v>42</v>
      </c>
      <c r="B6" s="83"/>
      <c r="C6" s="82" t="s">
        <v>43</v>
      </c>
      <c r="D6" s="84"/>
      <c r="E6" s="84"/>
      <c r="F6" s="84"/>
      <c r="G6" s="84"/>
      <c r="H6" s="84"/>
      <c r="I6" s="84"/>
      <c r="J6" s="83"/>
      <c r="K6" s="85" t="s">
        <v>44</v>
      </c>
      <c r="L6" s="55"/>
      <c r="M6" s="55"/>
      <c r="N6" s="55"/>
      <c r="O6" s="55"/>
      <c r="P6" s="55"/>
      <c r="Q6" s="56"/>
      <c r="R6" s="86" t="s">
        <v>45</v>
      </c>
    </row>
    <row r="7" ht="12.75" customHeight="1">
      <c r="A7" s="87" t="s">
        <v>46</v>
      </c>
      <c r="B7" s="88"/>
      <c r="C7" s="89" t="s">
        <v>47</v>
      </c>
      <c r="D7" s="69"/>
      <c r="E7" s="69"/>
      <c r="F7" s="69"/>
      <c r="G7" s="69"/>
      <c r="H7" s="69"/>
      <c r="I7" s="69"/>
      <c r="J7" s="90"/>
      <c r="K7" s="91" t="s">
        <v>48</v>
      </c>
      <c r="L7" s="92"/>
      <c r="M7" s="92"/>
      <c r="N7" s="92"/>
      <c r="O7" s="92"/>
      <c r="P7" s="92"/>
      <c r="Q7" s="92"/>
      <c r="R7" s="93"/>
    </row>
    <row r="8" ht="12.75" customHeight="1">
      <c r="A8" s="94"/>
      <c r="B8" s="90"/>
      <c r="C8" s="95"/>
      <c r="D8" s="79"/>
      <c r="E8" s="79"/>
      <c r="F8" s="79"/>
      <c r="G8" s="79"/>
      <c r="H8" s="79"/>
      <c r="I8" s="79"/>
      <c r="J8" s="96"/>
      <c r="K8" s="97" t="s">
        <v>50</v>
      </c>
      <c r="L8" s="98" t="s">
        <v>51</v>
      </c>
      <c r="M8" s="98" t="s">
        <v>52</v>
      </c>
      <c r="N8" s="99" t="s">
        <v>53</v>
      </c>
      <c r="O8" s="100" t="s">
        <v>54</v>
      </c>
      <c r="P8" s="101">
        <v>3.0</v>
      </c>
      <c r="Q8" s="70"/>
      <c r="R8" s="102" t="s">
        <v>318</v>
      </c>
    </row>
    <row r="9" ht="12.75" customHeight="1">
      <c r="A9" s="103"/>
      <c r="B9" s="96"/>
      <c r="J9" s="88"/>
      <c r="K9" s="104" t="s">
        <v>258</v>
      </c>
      <c r="L9" s="105">
        <v>2.0</v>
      </c>
      <c r="M9" s="106">
        <v>46008.0</v>
      </c>
      <c r="N9" s="107"/>
      <c r="O9" s="108" t="s">
        <v>58</v>
      </c>
      <c r="P9" s="109">
        <v>-5.0</v>
      </c>
      <c r="Q9" s="66"/>
      <c r="R9" s="110"/>
    </row>
    <row r="10" ht="12.75" customHeight="1">
      <c r="A10" s="111"/>
      <c r="B10" s="88"/>
      <c r="J10" s="88"/>
      <c r="K10" s="104" t="s">
        <v>259</v>
      </c>
      <c r="L10" s="112">
        <v>7.0</v>
      </c>
      <c r="M10" s="296">
        <v>46008.0</v>
      </c>
      <c r="N10" s="107"/>
      <c r="O10" s="108" t="s">
        <v>59</v>
      </c>
      <c r="P10" s="109" t="s">
        <v>319</v>
      </c>
      <c r="Q10" s="66"/>
      <c r="R10" s="110"/>
    </row>
    <row r="11">
      <c r="A11" s="111"/>
      <c r="B11" s="88"/>
      <c r="J11" s="88"/>
      <c r="K11" s="104"/>
      <c r="L11" s="112"/>
      <c r="M11" s="296"/>
      <c r="N11" s="318"/>
      <c r="O11" s="115" t="s">
        <v>61</v>
      </c>
      <c r="P11" s="116" t="s">
        <v>92</v>
      </c>
      <c r="Q11" s="66"/>
      <c r="R11" s="110"/>
    </row>
    <row r="12">
      <c r="A12" s="111"/>
      <c r="B12" s="88"/>
      <c r="J12" s="88"/>
      <c r="K12" s="104"/>
      <c r="L12" s="112"/>
      <c r="M12" s="296"/>
      <c r="N12" s="107"/>
      <c r="O12" s="108" t="s">
        <v>63</v>
      </c>
      <c r="P12" s="116" t="s">
        <v>92</v>
      </c>
      <c r="Q12" s="66"/>
      <c r="R12" s="110"/>
    </row>
    <row r="13">
      <c r="A13" s="111"/>
      <c r="B13" s="88"/>
      <c r="C13" s="69"/>
      <c r="D13" s="69"/>
      <c r="E13" s="69"/>
      <c r="F13" s="69"/>
      <c r="G13" s="69"/>
      <c r="H13" s="69"/>
      <c r="I13" s="69"/>
      <c r="J13" s="90"/>
      <c r="K13" s="117"/>
      <c r="L13" s="118"/>
      <c r="M13" s="118"/>
      <c r="N13" s="119"/>
      <c r="O13" s="120" t="s">
        <v>64</v>
      </c>
      <c r="P13" s="121" t="s">
        <v>65</v>
      </c>
      <c r="Q13" s="80"/>
      <c r="R13" s="81"/>
    </row>
    <row r="14" ht="12.75" customHeight="1">
      <c r="A14" s="122" t="s">
        <v>66</v>
      </c>
      <c r="B14" s="123"/>
      <c r="C14" s="124" t="s">
        <v>67</v>
      </c>
      <c r="D14" s="47"/>
      <c r="E14" s="123"/>
      <c r="F14" s="124" t="s">
        <v>68</v>
      </c>
      <c r="G14" s="47"/>
      <c r="H14" s="123"/>
      <c r="I14" s="124" t="s">
        <v>69</v>
      </c>
      <c r="J14" s="123"/>
      <c r="K14" s="91" t="s">
        <v>70</v>
      </c>
      <c r="L14" s="92"/>
      <c r="M14" s="92"/>
      <c r="N14" s="92"/>
      <c r="O14" s="92"/>
      <c r="P14" s="92"/>
      <c r="Q14" s="92"/>
      <c r="R14" s="93"/>
    </row>
    <row r="15" ht="12.75" customHeight="1">
      <c r="A15" s="125" t="s">
        <v>71</v>
      </c>
      <c r="B15" s="126"/>
      <c r="C15" s="127" t="s">
        <v>72</v>
      </c>
      <c r="E15" s="128">
        <v>24.0</v>
      </c>
      <c r="F15" s="319" t="s">
        <v>37</v>
      </c>
      <c r="G15" s="130" t="s">
        <v>73</v>
      </c>
      <c r="H15" s="131" t="s">
        <v>74</v>
      </c>
      <c r="I15" s="132" t="s">
        <v>75</v>
      </c>
      <c r="J15" s="133">
        <v>220.0</v>
      </c>
      <c r="K15" s="97" t="s">
        <v>76</v>
      </c>
      <c r="L15" s="98" t="s">
        <v>51</v>
      </c>
      <c r="M15" s="98" t="s">
        <v>52</v>
      </c>
      <c r="N15" s="99" t="s">
        <v>53</v>
      </c>
      <c r="O15" s="134" t="s">
        <v>320</v>
      </c>
      <c r="P15" s="101">
        <v>69.0</v>
      </c>
      <c r="Q15" s="70"/>
      <c r="R15" s="102"/>
    </row>
    <row r="16" ht="12.75" customHeight="1">
      <c r="A16" s="135" t="s">
        <v>79</v>
      </c>
      <c r="B16" s="136" t="b">
        <v>0</v>
      </c>
      <c r="C16" s="137"/>
      <c r="D16" s="138" t="s">
        <v>80</v>
      </c>
      <c r="E16" s="138" t="s">
        <v>81</v>
      </c>
      <c r="F16" s="222"/>
      <c r="G16" s="112"/>
      <c r="H16" s="140"/>
      <c r="I16" s="141"/>
      <c r="J16" s="142"/>
      <c r="K16" s="104"/>
      <c r="L16" s="105"/>
      <c r="M16" s="105"/>
      <c r="N16" s="113"/>
      <c r="O16" s="108" t="s">
        <v>83</v>
      </c>
      <c r="P16" s="109">
        <v>90.0</v>
      </c>
      <c r="Q16" s="66"/>
      <c r="R16" s="110"/>
    </row>
    <row r="17" ht="12.75" customHeight="1">
      <c r="A17" s="135" t="s">
        <v>84</v>
      </c>
      <c r="B17" s="136" t="b">
        <v>0</v>
      </c>
      <c r="C17" s="139" t="s">
        <v>85</v>
      </c>
      <c r="D17" s="112"/>
      <c r="E17" s="140"/>
      <c r="F17" s="139"/>
      <c r="G17" s="112"/>
      <c r="H17" s="140"/>
      <c r="I17" s="132" t="s">
        <v>86</v>
      </c>
      <c r="J17" s="144"/>
      <c r="K17" s="104"/>
      <c r="L17" s="105"/>
      <c r="M17" s="296"/>
      <c r="N17" s="107"/>
      <c r="O17" s="108" t="s">
        <v>89</v>
      </c>
      <c r="P17" s="109">
        <v>3.0</v>
      </c>
      <c r="Q17" s="66"/>
      <c r="R17" s="110"/>
    </row>
    <row r="18" ht="12.75" customHeight="1">
      <c r="A18" s="146" t="s">
        <v>90</v>
      </c>
      <c r="B18" s="147" t="b">
        <v>1</v>
      </c>
      <c r="C18" s="139" t="s">
        <v>83</v>
      </c>
      <c r="D18" s="320"/>
      <c r="E18" s="140"/>
      <c r="F18" s="139"/>
      <c r="G18" s="112"/>
      <c r="H18" s="140"/>
      <c r="I18" s="141"/>
      <c r="J18" s="142"/>
      <c r="K18" s="104"/>
      <c r="L18" s="105"/>
      <c r="M18" s="296"/>
      <c r="N18" s="321"/>
      <c r="O18" s="149" t="s">
        <v>91</v>
      </c>
      <c r="P18" s="116" t="s">
        <v>65</v>
      </c>
      <c r="Q18" s="66"/>
      <c r="R18" s="110"/>
    </row>
    <row r="19" ht="12.75" customHeight="1">
      <c r="A19" s="122" t="s">
        <v>93</v>
      </c>
      <c r="B19" s="123"/>
      <c r="C19" s="139" t="s">
        <v>94</v>
      </c>
      <c r="D19" s="320"/>
      <c r="E19" s="322"/>
      <c r="F19" s="139"/>
      <c r="G19" s="112"/>
      <c r="H19" s="140"/>
      <c r="I19" s="132" t="s">
        <v>95</v>
      </c>
      <c r="J19" s="150">
        <v>-51.0</v>
      </c>
      <c r="K19" s="104"/>
      <c r="L19" s="105"/>
      <c r="M19" s="112"/>
      <c r="N19" s="148"/>
      <c r="O19" s="149" t="s">
        <v>96</v>
      </c>
      <c r="P19" s="116" t="s">
        <v>306</v>
      </c>
      <c r="Q19" s="66"/>
      <c r="R19" s="110"/>
    </row>
    <row r="20" ht="12.75" customHeight="1">
      <c r="A20" s="135" t="s">
        <v>97</v>
      </c>
      <c r="B20" s="136" t="b">
        <v>0</v>
      </c>
      <c r="C20" s="139" t="s">
        <v>98</v>
      </c>
      <c r="D20" s="323"/>
      <c r="E20" s="322"/>
      <c r="F20" s="152" t="s">
        <v>99</v>
      </c>
      <c r="G20" s="74"/>
      <c r="H20" s="126"/>
      <c r="I20" s="141"/>
      <c r="J20" s="142"/>
      <c r="K20" s="117"/>
      <c r="L20" s="153"/>
      <c r="M20" s="118"/>
      <c r="N20" s="119"/>
      <c r="O20" s="120" t="s">
        <v>100</v>
      </c>
      <c r="P20" s="121" t="s">
        <v>92</v>
      </c>
      <c r="Q20" s="80"/>
      <c r="R20" s="81"/>
    </row>
    <row r="21" ht="12.75" customHeight="1">
      <c r="A21" s="135" t="s">
        <v>101</v>
      </c>
      <c r="B21" s="136" t="b">
        <v>0</v>
      </c>
      <c r="C21" s="139" t="s">
        <v>102</v>
      </c>
      <c r="D21" s="324"/>
      <c r="E21" s="298"/>
      <c r="F21" s="154"/>
      <c r="G21" s="66"/>
      <c r="H21" s="140"/>
      <c r="I21" s="152" t="s">
        <v>104</v>
      </c>
      <c r="J21" s="126"/>
      <c r="K21" s="91" t="s">
        <v>105</v>
      </c>
      <c r="L21" s="92"/>
      <c r="M21" s="92"/>
      <c r="N21" s="92"/>
      <c r="O21" s="92"/>
      <c r="P21" s="92"/>
      <c r="Q21" s="92"/>
      <c r="R21" s="93"/>
    </row>
    <row r="22" ht="12.75" customHeight="1">
      <c r="A22" s="146" t="s">
        <v>106</v>
      </c>
      <c r="B22" s="147" t="b">
        <v>1</v>
      </c>
      <c r="C22" s="139" t="s">
        <v>107</v>
      </c>
      <c r="D22" s="143"/>
      <c r="E22" s="298"/>
      <c r="F22" s="154"/>
      <c r="G22" s="66"/>
      <c r="H22" s="140"/>
      <c r="I22" s="218"/>
      <c r="J22" s="96"/>
      <c r="K22" s="301" t="s">
        <v>108</v>
      </c>
      <c r="L22" s="302" t="s">
        <v>230</v>
      </c>
      <c r="M22" s="303" t="s">
        <v>110</v>
      </c>
      <c r="N22" s="304" t="s">
        <v>321</v>
      </c>
      <c r="O22" s="160" t="s">
        <v>111</v>
      </c>
      <c r="P22" s="157">
        <v>19.0</v>
      </c>
      <c r="Q22" s="161" t="s">
        <v>112</v>
      </c>
      <c r="R22" s="102" t="s">
        <v>322</v>
      </c>
    </row>
    <row r="23" ht="12.75" customHeight="1">
      <c r="A23" s="122" t="s">
        <v>114</v>
      </c>
      <c r="B23" s="123"/>
      <c r="C23" s="139">
        <v>70.0</v>
      </c>
      <c r="D23" s="162"/>
      <c r="E23" s="163"/>
      <c r="F23" s="164"/>
      <c r="G23" s="165"/>
      <c r="H23" s="163"/>
      <c r="I23" s="166"/>
      <c r="J23" s="167"/>
      <c r="K23" s="168" t="s">
        <v>115</v>
      </c>
      <c r="L23" s="169"/>
      <c r="M23" s="170" t="s">
        <v>94</v>
      </c>
      <c r="N23" s="169">
        <v>20.0</v>
      </c>
      <c r="O23" s="170" t="s">
        <v>323</v>
      </c>
      <c r="P23" s="169">
        <v>1.0</v>
      </c>
      <c r="Q23" s="171"/>
      <c r="R23" s="110"/>
    </row>
    <row r="24" ht="12.75" customHeight="1">
      <c r="A24" s="103"/>
      <c r="B24" s="96"/>
      <c r="C24" s="122" t="s">
        <v>118</v>
      </c>
      <c r="D24" s="47"/>
      <c r="E24" s="123"/>
      <c r="F24" s="172" t="s">
        <v>119</v>
      </c>
      <c r="G24" s="47"/>
      <c r="H24" s="47"/>
      <c r="I24" s="47"/>
      <c r="J24" s="123"/>
      <c r="K24" s="168" t="s">
        <v>120</v>
      </c>
      <c r="L24" s="169"/>
      <c r="M24" s="170" t="s">
        <v>121</v>
      </c>
      <c r="N24" s="325">
        <v>0.4</v>
      </c>
      <c r="O24" s="170" t="s">
        <v>122</v>
      </c>
      <c r="P24" s="169">
        <v>19.0</v>
      </c>
      <c r="Q24" s="173" t="s">
        <v>123</v>
      </c>
      <c r="R24" s="110"/>
    </row>
    <row r="25" ht="12.75" customHeight="1">
      <c r="A25" s="111"/>
      <c r="B25" s="88"/>
      <c r="C25" s="174"/>
      <c r="D25" s="175" t="s">
        <v>124</v>
      </c>
      <c r="E25" s="176" t="s">
        <v>125</v>
      </c>
      <c r="F25" s="177" t="s">
        <v>37</v>
      </c>
      <c r="G25" s="178" t="s">
        <v>126</v>
      </c>
      <c r="H25" s="179" t="s">
        <v>127</v>
      </c>
      <c r="I25" s="74"/>
      <c r="J25" s="126"/>
      <c r="K25" s="168" t="s">
        <v>128</v>
      </c>
      <c r="L25" s="169"/>
      <c r="M25" s="170" t="s">
        <v>129</v>
      </c>
      <c r="N25" s="169">
        <v>6.0</v>
      </c>
      <c r="O25" s="170" t="s">
        <v>130</v>
      </c>
      <c r="P25" s="169">
        <v>10.0</v>
      </c>
      <c r="Q25" s="171" t="s">
        <v>324</v>
      </c>
      <c r="R25" s="110"/>
    </row>
    <row r="26" ht="12.75" customHeight="1">
      <c r="A26" s="111"/>
      <c r="B26" s="88"/>
      <c r="C26" s="135" t="s">
        <v>132</v>
      </c>
      <c r="D26" s="136"/>
      <c r="E26" s="136"/>
      <c r="F26" s="181">
        <v>46008.0</v>
      </c>
      <c r="G26" s="182" t="s">
        <v>325</v>
      </c>
      <c r="H26" s="187"/>
      <c r="I26" s="74"/>
      <c r="J26" s="126"/>
      <c r="K26" s="168" t="s">
        <v>135</v>
      </c>
      <c r="L26" s="184"/>
      <c r="M26" s="170" t="s">
        <v>136</v>
      </c>
      <c r="N26" s="169">
        <v>12.0</v>
      </c>
      <c r="O26" s="170" t="s">
        <v>137</v>
      </c>
      <c r="P26" s="169"/>
      <c r="Q26" s="173" t="s">
        <v>138</v>
      </c>
      <c r="R26" s="110"/>
    </row>
    <row r="27" ht="17.25" customHeight="1">
      <c r="A27" s="111"/>
      <c r="B27" s="88"/>
      <c r="C27" s="135" t="s">
        <v>139</v>
      </c>
      <c r="D27" s="136"/>
      <c r="E27" s="136"/>
      <c r="F27" s="181">
        <v>46008.0</v>
      </c>
      <c r="G27" s="182" t="s">
        <v>326</v>
      </c>
      <c r="H27" s="183"/>
      <c r="I27" s="74"/>
      <c r="J27" s="126"/>
      <c r="K27" s="188" t="s">
        <v>140</v>
      </c>
      <c r="L27" s="189">
        <v>30.0</v>
      </c>
      <c r="M27" s="190" t="s">
        <v>141</v>
      </c>
      <c r="N27" s="189"/>
      <c r="O27" s="190" t="s">
        <v>142</v>
      </c>
      <c r="P27" s="189"/>
      <c r="Q27" s="180" t="s">
        <v>327</v>
      </c>
      <c r="R27" s="81"/>
    </row>
    <row r="28" ht="12.75" customHeight="1">
      <c r="A28" s="166"/>
      <c r="B28" s="167"/>
      <c r="C28" s="135" t="s">
        <v>143</v>
      </c>
      <c r="D28" s="191"/>
      <c r="E28" s="191"/>
      <c r="F28" s="305">
        <v>46008.0</v>
      </c>
      <c r="G28" s="326" t="s">
        <v>328</v>
      </c>
      <c r="H28" s="187"/>
      <c r="I28" s="74"/>
      <c r="J28" s="126"/>
      <c r="K28" s="91" t="s">
        <v>144</v>
      </c>
      <c r="L28" s="92"/>
      <c r="M28" s="92"/>
      <c r="N28" s="92"/>
      <c r="O28" s="92"/>
      <c r="P28" s="92"/>
      <c r="Q28" s="92"/>
      <c r="R28" s="93"/>
    </row>
    <row r="29" ht="12.75" customHeight="1">
      <c r="A29" s="124" t="s">
        <v>145</v>
      </c>
      <c r="B29" s="123"/>
      <c r="C29" s="135" t="s">
        <v>146</v>
      </c>
      <c r="D29" s="191"/>
      <c r="E29" s="191"/>
      <c r="F29" s="185"/>
      <c r="G29" s="186"/>
      <c r="H29" s="187"/>
      <c r="I29" s="74"/>
      <c r="J29" s="126"/>
      <c r="K29" s="192" t="s">
        <v>5</v>
      </c>
      <c r="L29" s="193" t="s">
        <v>276</v>
      </c>
      <c r="M29" s="70"/>
      <c r="N29" s="194" t="s">
        <v>148</v>
      </c>
      <c r="O29" s="195" t="s">
        <v>103</v>
      </c>
      <c r="P29" s="196" t="s">
        <v>149</v>
      </c>
      <c r="Q29" s="197">
        <v>70.0</v>
      </c>
      <c r="R29" s="102"/>
    </row>
    <row r="30" ht="12.75" customHeight="1">
      <c r="A30" s="139" t="s">
        <v>151</v>
      </c>
      <c r="B30" s="140" t="s">
        <v>329</v>
      </c>
      <c r="C30" s="135" t="s">
        <v>153</v>
      </c>
      <c r="D30" s="136"/>
      <c r="E30" s="136"/>
      <c r="F30" s="185"/>
      <c r="G30" s="186"/>
      <c r="H30" s="187"/>
      <c r="I30" s="74"/>
      <c r="J30" s="126"/>
      <c r="K30" s="199" t="s">
        <v>154</v>
      </c>
      <c r="L30" s="113"/>
      <c r="M30" s="173" t="s">
        <v>156</v>
      </c>
      <c r="N30" s="66"/>
      <c r="O30" s="169"/>
      <c r="P30" s="200" t="s">
        <v>158</v>
      </c>
      <c r="Q30" s="201" t="s">
        <v>330</v>
      </c>
      <c r="R30" s="110"/>
    </row>
    <row r="31" ht="12.75" customHeight="1">
      <c r="A31" s="139" t="s">
        <v>160</v>
      </c>
      <c r="B31" s="140" t="s">
        <v>331</v>
      </c>
      <c r="C31" s="135" t="s">
        <v>162</v>
      </c>
      <c r="D31" s="136"/>
      <c r="E31" s="136"/>
      <c r="F31" s="139"/>
      <c r="G31" s="112"/>
      <c r="H31" s="187"/>
      <c r="I31" s="74"/>
      <c r="J31" s="126"/>
      <c r="K31" s="168" t="s">
        <v>163</v>
      </c>
      <c r="L31" s="202" t="s">
        <v>65</v>
      </c>
      <c r="M31" s="66"/>
      <c r="N31" s="203" t="s">
        <v>332</v>
      </c>
      <c r="O31" s="79"/>
      <c r="P31" s="79"/>
      <c r="Q31" s="80"/>
      <c r="R31" s="110"/>
    </row>
    <row r="32" ht="12.75" customHeight="1">
      <c r="A32" s="139" t="s">
        <v>165</v>
      </c>
      <c r="B32" s="140" t="s">
        <v>333</v>
      </c>
      <c r="C32" s="135" t="s">
        <v>167</v>
      </c>
      <c r="D32" s="136"/>
      <c r="E32" s="136"/>
      <c r="F32" s="139"/>
      <c r="G32" s="112"/>
      <c r="H32" s="187"/>
      <c r="I32" s="74"/>
      <c r="J32" s="126"/>
      <c r="K32" s="204" t="s">
        <v>168</v>
      </c>
      <c r="L32" s="116" t="s">
        <v>92</v>
      </c>
      <c r="M32" s="66"/>
      <c r="N32" s="205"/>
      <c r="Q32" s="206"/>
      <c r="R32" s="110"/>
    </row>
    <row r="33" ht="12.75" customHeight="1">
      <c r="A33" s="135" t="s">
        <v>169</v>
      </c>
      <c r="B33" s="136"/>
      <c r="C33" s="135" t="s">
        <v>170</v>
      </c>
      <c r="D33" s="136"/>
      <c r="E33" s="136"/>
      <c r="F33" s="139"/>
      <c r="G33" s="112"/>
      <c r="H33" s="187"/>
      <c r="I33" s="74"/>
      <c r="J33" s="126"/>
      <c r="K33" s="204" t="s">
        <v>171</v>
      </c>
      <c r="L33" s="116" t="s">
        <v>92</v>
      </c>
      <c r="M33" s="66"/>
      <c r="N33" s="205"/>
      <c r="Q33" s="206"/>
      <c r="R33" s="110"/>
    </row>
    <row r="34" ht="12.75" customHeight="1">
      <c r="A34" s="174" t="s">
        <v>172</v>
      </c>
      <c r="B34" s="136"/>
      <c r="C34" s="135" t="s">
        <v>173</v>
      </c>
      <c r="D34" s="136"/>
      <c r="E34" s="136"/>
      <c r="F34" s="207"/>
      <c r="G34" s="162"/>
      <c r="H34" s="208"/>
      <c r="I34" s="209"/>
      <c r="J34" s="210"/>
      <c r="K34" s="211" t="s">
        <v>174</v>
      </c>
      <c r="L34" s="121" t="s">
        <v>65</v>
      </c>
      <c r="M34" s="80"/>
      <c r="N34" s="68"/>
      <c r="O34" s="69"/>
      <c r="P34" s="69"/>
      <c r="Q34" s="70"/>
      <c r="R34" s="81"/>
    </row>
    <row r="35" ht="12.75" customHeight="1">
      <c r="A35" s="212" t="s">
        <v>175</v>
      </c>
      <c r="B35" s="147"/>
      <c r="C35" s="135" t="s">
        <v>176</v>
      </c>
      <c r="D35" s="136"/>
      <c r="E35" s="136"/>
      <c r="F35" s="124" t="s">
        <v>177</v>
      </c>
      <c r="G35" s="47"/>
      <c r="H35" s="47"/>
      <c r="I35" s="47"/>
      <c r="J35" s="123"/>
      <c r="K35" s="91" t="s">
        <v>178</v>
      </c>
      <c r="L35" s="92"/>
      <c r="M35" s="92"/>
      <c r="N35" s="92"/>
      <c r="O35" s="92"/>
      <c r="P35" s="92"/>
      <c r="Q35" s="92"/>
      <c r="R35" s="93"/>
    </row>
    <row r="36" ht="18.75" customHeight="1">
      <c r="A36" s="213" t="s">
        <v>179</v>
      </c>
      <c r="B36" s="123"/>
      <c r="C36" s="135" t="s">
        <v>180</v>
      </c>
      <c r="D36" s="219"/>
      <c r="E36" s="136"/>
      <c r="F36" s="129" t="s">
        <v>37</v>
      </c>
      <c r="G36" s="130" t="s">
        <v>126</v>
      </c>
      <c r="H36" s="214" t="s">
        <v>127</v>
      </c>
      <c r="I36" s="74"/>
      <c r="J36" s="126"/>
      <c r="K36" s="215" t="s">
        <v>181</v>
      </c>
      <c r="L36" s="216" t="s">
        <v>65</v>
      </c>
      <c r="M36" s="70"/>
      <c r="N36" s="217" t="s">
        <v>182</v>
      </c>
      <c r="Q36" s="206"/>
      <c r="R36" s="102"/>
    </row>
    <row r="37" ht="12.75" customHeight="1">
      <c r="A37" s="218" t="s">
        <v>334</v>
      </c>
      <c r="B37" s="96"/>
      <c r="C37" s="135" t="s">
        <v>185</v>
      </c>
      <c r="D37" s="219"/>
      <c r="E37" s="220"/>
      <c r="F37" s="327">
        <v>46008.0</v>
      </c>
      <c r="G37" s="112" t="s">
        <v>293</v>
      </c>
      <c r="H37" s="116"/>
      <c r="I37" s="74"/>
      <c r="J37" s="126"/>
      <c r="K37" s="204" t="s">
        <v>188</v>
      </c>
      <c r="L37" s="116" t="s">
        <v>92</v>
      </c>
      <c r="M37" s="66"/>
      <c r="N37" s="205"/>
      <c r="Q37" s="206"/>
      <c r="R37" s="110"/>
    </row>
    <row r="38" ht="12.75" customHeight="1">
      <c r="A38" s="111"/>
      <c r="B38" s="88"/>
      <c r="C38" s="135" t="s">
        <v>189</v>
      </c>
      <c r="D38" s="219"/>
      <c r="E38" s="220"/>
      <c r="F38" s="327">
        <v>46008.0</v>
      </c>
      <c r="G38" s="112" t="s">
        <v>335</v>
      </c>
      <c r="H38" s="308" t="s">
        <v>336</v>
      </c>
      <c r="I38" s="74"/>
      <c r="J38" s="126"/>
      <c r="K38" s="223" t="s">
        <v>190</v>
      </c>
      <c r="L38" s="224">
        <f>(J15/Q29)/E15</f>
        <v>0.130952381</v>
      </c>
      <c r="M38" s="66"/>
      <c r="N38" s="205"/>
      <c r="Q38" s="206"/>
      <c r="R38" s="110"/>
    </row>
    <row r="39" ht="12.75" customHeight="1">
      <c r="A39" s="111"/>
      <c r="B39" s="88"/>
      <c r="C39" s="135" t="s">
        <v>191</v>
      </c>
      <c r="D39" s="219"/>
      <c r="E39" s="220"/>
      <c r="F39" s="222">
        <v>46008.0</v>
      </c>
      <c r="G39" s="112" t="s">
        <v>337</v>
      </c>
      <c r="H39" s="308" t="s">
        <v>338</v>
      </c>
      <c r="I39" s="74"/>
      <c r="J39" s="126"/>
      <c r="K39" s="204" t="s">
        <v>192</v>
      </c>
      <c r="L39" s="116" t="s">
        <v>92</v>
      </c>
      <c r="M39" s="66"/>
      <c r="N39" s="205"/>
      <c r="Q39" s="206"/>
      <c r="R39" s="110"/>
    </row>
    <row r="40" ht="12.75" customHeight="1">
      <c r="A40" s="111"/>
      <c r="B40" s="88"/>
      <c r="C40" s="135" t="s">
        <v>193</v>
      </c>
      <c r="D40" s="219"/>
      <c r="E40" s="220"/>
      <c r="F40" s="139"/>
      <c r="G40" s="112"/>
      <c r="H40" s="116"/>
      <c r="I40" s="74"/>
      <c r="J40" s="126"/>
      <c r="K40" s="211" t="s">
        <v>194</v>
      </c>
      <c r="L40" s="121"/>
      <c r="M40" s="80"/>
      <c r="N40" s="68"/>
      <c r="O40" s="69"/>
      <c r="P40" s="69"/>
      <c r="Q40" s="70"/>
      <c r="R40" s="81"/>
    </row>
    <row r="41" ht="12.75" customHeight="1">
      <c r="A41" s="111"/>
      <c r="B41" s="88"/>
      <c r="C41" s="135" t="s">
        <v>195</v>
      </c>
      <c r="D41" s="225"/>
      <c r="E41" s="220"/>
      <c r="F41" s="139"/>
      <c r="G41" s="112"/>
      <c r="H41" s="116"/>
      <c r="I41" s="74"/>
      <c r="J41" s="126"/>
      <c r="K41" s="91" t="s">
        <v>196</v>
      </c>
      <c r="L41" s="92"/>
      <c r="M41" s="92"/>
      <c r="N41" s="92"/>
      <c r="O41" s="92"/>
      <c r="P41" s="92"/>
      <c r="Q41" s="92"/>
      <c r="R41" s="93"/>
    </row>
    <row r="42" ht="12.75" customHeight="1">
      <c r="A42" s="111"/>
      <c r="B42" s="88"/>
      <c r="C42" s="310" t="s">
        <v>197</v>
      </c>
      <c r="D42" s="227"/>
      <c r="E42" s="228"/>
      <c r="F42" s="207"/>
      <c r="G42" s="162"/>
      <c r="H42" s="229"/>
      <c r="I42" s="209"/>
      <c r="J42" s="210"/>
      <c r="K42" s="230" t="s">
        <v>198</v>
      </c>
      <c r="L42" s="70"/>
      <c r="M42" s="231" t="s">
        <v>306</v>
      </c>
      <c r="N42" s="70"/>
      <c r="O42" s="232" t="s">
        <v>199</v>
      </c>
      <c r="P42" s="232" t="s">
        <v>200</v>
      </c>
      <c r="Q42" s="233" t="s">
        <v>53</v>
      </c>
      <c r="R42" s="102" t="s">
        <v>339</v>
      </c>
    </row>
    <row r="43" ht="19.5" customHeight="1">
      <c r="A43" s="111"/>
      <c r="B43" s="88"/>
      <c r="C43" s="234" t="s">
        <v>202</v>
      </c>
      <c r="D43" s="235"/>
      <c r="E43" s="236"/>
      <c r="F43" s="237" t="s">
        <v>203</v>
      </c>
      <c r="G43" s="47"/>
      <c r="H43" s="47"/>
      <c r="I43" s="47"/>
      <c r="J43" s="123"/>
      <c r="K43" s="238" t="s">
        <v>204</v>
      </c>
      <c r="L43" s="66"/>
      <c r="M43" s="239" t="s">
        <v>306</v>
      </c>
      <c r="N43" s="66"/>
      <c r="O43" s="240"/>
      <c r="P43" s="241"/>
      <c r="Q43" s="242"/>
      <c r="R43" s="110"/>
    </row>
    <row r="44" ht="12.75" customHeight="1">
      <c r="A44" s="111"/>
      <c r="B44" s="88"/>
      <c r="C44" s="243" t="s">
        <v>340</v>
      </c>
      <c r="D44" s="252" t="s">
        <v>341</v>
      </c>
      <c r="E44" s="245"/>
      <c r="F44" s="246" t="s">
        <v>126</v>
      </c>
      <c r="G44" s="247" t="s">
        <v>206</v>
      </c>
      <c r="H44" s="178" t="s">
        <v>207</v>
      </c>
      <c r="I44" s="178" t="s">
        <v>208</v>
      </c>
      <c r="J44" s="248" t="s">
        <v>209</v>
      </c>
      <c r="K44" s="238" t="s">
        <v>210</v>
      </c>
      <c r="L44" s="66"/>
      <c r="M44" s="239" t="s">
        <v>92</v>
      </c>
      <c r="N44" s="66"/>
      <c r="O44" s="249"/>
      <c r="P44" s="250"/>
      <c r="Q44" s="251"/>
      <c r="R44" s="110"/>
    </row>
    <row r="45" ht="12.75" customHeight="1">
      <c r="A45" s="111"/>
      <c r="B45" s="88"/>
      <c r="C45" s="243" t="s">
        <v>342</v>
      </c>
      <c r="D45" s="252"/>
      <c r="E45" s="253"/>
      <c r="F45" s="254" t="s">
        <v>343</v>
      </c>
      <c r="G45" s="112"/>
      <c r="H45" s="112">
        <v>19.0</v>
      </c>
      <c r="I45" s="292">
        <v>46008.0</v>
      </c>
      <c r="J45" s="264"/>
      <c r="K45" s="238" t="s">
        <v>215</v>
      </c>
      <c r="L45" s="66"/>
      <c r="M45" s="239" t="s">
        <v>92</v>
      </c>
      <c r="N45" s="66"/>
      <c r="O45" s="240"/>
      <c r="P45" s="256"/>
      <c r="Q45" s="251"/>
      <c r="R45" s="110"/>
    </row>
    <row r="46" ht="12.75" customHeight="1">
      <c r="A46" s="111"/>
      <c r="B46" s="88"/>
      <c r="C46" s="243" t="s">
        <v>217</v>
      </c>
      <c r="D46" s="252"/>
      <c r="E46" s="253"/>
      <c r="F46" s="254" t="s">
        <v>344</v>
      </c>
      <c r="G46" s="112"/>
      <c r="H46" s="112"/>
      <c r="I46" s="311">
        <v>46008.0</v>
      </c>
      <c r="J46" s="140"/>
      <c r="K46" s="238" t="s">
        <v>220</v>
      </c>
      <c r="L46" s="66"/>
      <c r="M46" s="239" t="s">
        <v>306</v>
      </c>
      <c r="N46" s="66"/>
      <c r="O46" s="240"/>
      <c r="P46" s="256"/>
      <c r="Q46" s="257"/>
      <c r="R46" s="110"/>
    </row>
    <row r="47" ht="12.75" customHeight="1">
      <c r="A47" s="111"/>
      <c r="B47" s="88"/>
      <c r="C47" s="243" t="s">
        <v>222</v>
      </c>
      <c r="D47" s="252"/>
      <c r="E47" s="253"/>
      <c r="F47" s="254" t="s">
        <v>345</v>
      </c>
      <c r="G47" s="112" t="s">
        <v>346</v>
      </c>
      <c r="H47" s="112"/>
      <c r="I47" s="259">
        <v>46008.0</v>
      </c>
      <c r="J47" s="140"/>
      <c r="K47" s="260" t="s">
        <v>225</v>
      </c>
      <c r="L47" s="80"/>
      <c r="M47" s="121" t="s">
        <v>303</v>
      </c>
      <c r="N47" s="80"/>
      <c r="O47" s="261"/>
      <c r="P47" s="261"/>
      <c r="Q47" s="262"/>
      <c r="R47" s="81"/>
    </row>
    <row r="48" ht="12.75" customHeight="1">
      <c r="A48" s="111"/>
      <c r="B48" s="88"/>
      <c r="C48" s="243" t="s">
        <v>226</v>
      </c>
      <c r="D48" s="252"/>
      <c r="F48" s="254" t="s">
        <v>347</v>
      </c>
      <c r="G48" s="112"/>
      <c r="H48" s="112"/>
      <c r="I48" s="259">
        <v>46008.0</v>
      </c>
      <c r="J48" s="263"/>
      <c r="K48" s="91" t="s">
        <v>228</v>
      </c>
      <c r="L48" s="92"/>
      <c r="M48" s="92"/>
      <c r="N48" s="92"/>
      <c r="O48" s="92"/>
      <c r="P48" s="92"/>
      <c r="Q48" s="92"/>
      <c r="R48" s="93"/>
    </row>
    <row r="49" ht="12.75" customHeight="1">
      <c r="A49" s="111"/>
      <c r="B49" s="88"/>
      <c r="C49" s="243" t="s">
        <v>229</v>
      </c>
      <c r="D49" s="252"/>
      <c r="E49" s="253"/>
      <c r="F49" s="254"/>
      <c r="G49" s="112"/>
      <c r="H49" s="112"/>
      <c r="I49" s="296"/>
      <c r="J49" s="140"/>
      <c r="K49" s="192" t="s">
        <v>232</v>
      </c>
      <c r="L49" s="193"/>
      <c r="M49" s="69"/>
      <c r="N49" s="70"/>
      <c r="O49" s="194"/>
      <c r="P49" s="265" t="s">
        <v>348</v>
      </c>
      <c r="Q49" s="70"/>
      <c r="R49" s="102"/>
    </row>
    <row r="50" ht="12.75" customHeight="1">
      <c r="A50" s="111"/>
      <c r="B50" s="88"/>
      <c r="C50" s="243" t="s">
        <v>237</v>
      </c>
      <c r="D50" s="314"/>
      <c r="E50" s="253"/>
      <c r="F50" s="254"/>
      <c r="G50" s="112"/>
      <c r="H50" s="112"/>
      <c r="I50" s="296"/>
      <c r="J50" s="140"/>
      <c r="K50" s="266" t="s">
        <v>238</v>
      </c>
      <c r="L50" s="267"/>
      <c r="M50" s="66"/>
      <c r="N50" s="268" t="s">
        <v>240</v>
      </c>
      <c r="O50" s="66"/>
      <c r="P50" s="269"/>
      <c r="Q50" s="66"/>
      <c r="R50" s="110"/>
    </row>
    <row r="51" ht="12.75" customHeight="1">
      <c r="A51" s="111"/>
      <c r="B51" s="88"/>
      <c r="C51" s="243" t="s">
        <v>241</v>
      </c>
      <c r="D51" s="252"/>
      <c r="E51" s="253"/>
      <c r="F51" s="270"/>
      <c r="G51" s="259"/>
      <c r="H51" s="259"/>
      <c r="I51" s="259"/>
      <c r="J51" s="140"/>
      <c r="K51" s="266" t="s">
        <v>242</v>
      </c>
      <c r="L51" s="267" t="s">
        <v>65</v>
      </c>
      <c r="M51" s="66"/>
      <c r="N51" s="271" t="s">
        <v>243</v>
      </c>
      <c r="O51" s="79"/>
      <c r="P51" s="79"/>
      <c r="Q51" s="80"/>
      <c r="R51" s="110"/>
    </row>
    <row r="52" ht="12.75" customHeight="1">
      <c r="A52" s="111"/>
      <c r="B52" s="88"/>
      <c r="C52" s="243"/>
      <c r="D52" s="252"/>
      <c r="E52" s="253"/>
      <c r="F52" s="254"/>
      <c r="G52" s="112"/>
      <c r="H52" s="112"/>
      <c r="I52" s="112"/>
      <c r="J52" s="263"/>
      <c r="K52" s="266" t="s">
        <v>244</v>
      </c>
      <c r="L52" s="267" t="s">
        <v>65</v>
      </c>
      <c r="M52" s="66"/>
      <c r="N52" s="205"/>
      <c r="Q52" s="206"/>
      <c r="R52" s="110"/>
    </row>
    <row r="53" ht="12.75" customHeight="1">
      <c r="A53" s="111"/>
      <c r="B53" s="88"/>
      <c r="C53" s="272" t="s">
        <v>245</v>
      </c>
      <c r="D53" s="273"/>
      <c r="E53" s="274"/>
      <c r="F53" s="254"/>
      <c r="G53" s="112"/>
      <c r="H53" s="112"/>
      <c r="I53" s="112"/>
      <c r="J53" s="263"/>
      <c r="K53" s="266" t="s">
        <v>246</v>
      </c>
      <c r="L53" s="267" t="s">
        <v>65</v>
      </c>
      <c r="M53" s="66"/>
      <c r="N53" s="205"/>
      <c r="Q53" s="206"/>
      <c r="R53" s="110"/>
    </row>
    <row r="54" ht="12.75" customHeight="1">
      <c r="A54" s="166"/>
      <c r="B54" s="167"/>
      <c r="C54" s="275"/>
      <c r="D54" s="276"/>
      <c r="E54" s="277"/>
      <c r="F54" s="278"/>
      <c r="G54" s="118"/>
      <c r="H54" s="118"/>
      <c r="I54" s="118"/>
      <c r="J54" s="279"/>
      <c r="K54" s="188" t="s">
        <v>247</v>
      </c>
      <c r="L54" s="180">
        <v>0.0</v>
      </c>
      <c r="M54" s="80"/>
      <c r="N54" s="280"/>
      <c r="O54" s="281"/>
      <c r="P54" s="281"/>
      <c r="Q54" s="282"/>
      <c r="R54" s="81"/>
    </row>
    <row r="55" ht="18.75" customHeight="1">
      <c r="A55" s="283" t="s">
        <v>248</v>
      </c>
      <c r="B55" s="315"/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285"/>
      <c r="Q55" s="285"/>
      <c r="R55" s="286"/>
    </row>
    <row r="56" ht="18.75" customHeight="1">
      <c r="A56" s="287"/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8"/>
      <c r="P56" s="288"/>
      <c r="Q56" s="288"/>
      <c r="R56" s="289"/>
    </row>
  </sheetData>
  <mergeCells count="126">
    <mergeCell ref="B4:Q4"/>
    <mergeCell ref="B5:Q5"/>
    <mergeCell ref="A6:B6"/>
    <mergeCell ref="C6:J6"/>
    <mergeCell ref="K6:Q6"/>
    <mergeCell ref="R8:R13"/>
    <mergeCell ref="P13:Q13"/>
    <mergeCell ref="K14:R14"/>
    <mergeCell ref="C8:J13"/>
    <mergeCell ref="C14:E14"/>
    <mergeCell ref="F14:H14"/>
    <mergeCell ref="I14:J14"/>
    <mergeCell ref="C15:D15"/>
    <mergeCell ref="I15:I16"/>
    <mergeCell ref="J15:J16"/>
    <mergeCell ref="I21:J21"/>
    <mergeCell ref="I22:J23"/>
    <mergeCell ref="I17:I18"/>
    <mergeCell ref="J17:J18"/>
    <mergeCell ref="I19:I20"/>
    <mergeCell ref="J19:J20"/>
    <mergeCell ref="F20:H20"/>
    <mergeCell ref="F21:G21"/>
    <mergeCell ref="F22:G22"/>
    <mergeCell ref="F23:G23"/>
    <mergeCell ref="A24:B28"/>
    <mergeCell ref="A29:B29"/>
    <mergeCell ref="A36:B36"/>
    <mergeCell ref="A37:B54"/>
    <mergeCell ref="C43:E43"/>
    <mergeCell ref="A55:A56"/>
    <mergeCell ref="A7:B8"/>
    <mergeCell ref="A9:B13"/>
    <mergeCell ref="A14:B14"/>
    <mergeCell ref="A15:B15"/>
    <mergeCell ref="A19:B19"/>
    <mergeCell ref="A23:B23"/>
    <mergeCell ref="C24:E24"/>
    <mergeCell ref="P19:Q19"/>
    <mergeCell ref="P20:Q20"/>
    <mergeCell ref="K21:R21"/>
    <mergeCell ref="F24:J24"/>
    <mergeCell ref="H25:J25"/>
    <mergeCell ref="H26:J26"/>
    <mergeCell ref="H27:J27"/>
    <mergeCell ref="H28:J28"/>
    <mergeCell ref="K28:R28"/>
    <mergeCell ref="H29:J29"/>
    <mergeCell ref="L29:M29"/>
    <mergeCell ref="H30:J30"/>
    <mergeCell ref="M30:N30"/>
    <mergeCell ref="H31:J31"/>
    <mergeCell ref="H34:J34"/>
    <mergeCell ref="F35:J35"/>
    <mergeCell ref="H36:J36"/>
    <mergeCell ref="L36:M36"/>
    <mergeCell ref="L31:M31"/>
    <mergeCell ref="H32:J32"/>
    <mergeCell ref="L32:M32"/>
    <mergeCell ref="H33:J33"/>
    <mergeCell ref="L33:M33"/>
    <mergeCell ref="L34:M34"/>
    <mergeCell ref="K35:R35"/>
    <mergeCell ref="D1:G1"/>
    <mergeCell ref="J1:J2"/>
    <mergeCell ref="K1:K2"/>
    <mergeCell ref="L1:L2"/>
    <mergeCell ref="M1:Q2"/>
    <mergeCell ref="H2:I2"/>
    <mergeCell ref="B3:Q3"/>
    <mergeCell ref="C7:J7"/>
    <mergeCell ref="K7:R7"/>
    <mergeCell ref="R4:R5"/>
    <mergeCell ref="P8:Q8"/>
    <mergeCell ref="P9:Q9"/>
    <mergeCell ref="P10:Q10"/>
    <mergeCell ref="R22:R27"/>
    <mergeCell ref="R29:R34"/>
    <mergeCell ref="R36:R40"/>
    <mergeCell ref="P11:Q11"/>
    <mergeCell ref="P12:Q12"/>
    <mergeCell ref="P15:Q15"/>
    <mergeCell ref="R15:R20"/>
    <mergeCell ref="P16:Q16"/>
    <mergeCell ref="P17:Q17"/>
    <mergeCell ref="P18:Q18"/>
    <mergeCell ref="L40:M40"/>
    <mergeCell ref="K41:R41"/>
    <mergeCell ref="F43:J43"/>
    <mergeCell ref="N51:Q54"/>
    <mergeCell ref="L52:M52"/>
    <mergeCell ref="L53:M53"/>
    <mergeCell ref="L54:M54"/>
    <mergeCell ref="B55:R56"/>
    <mergeCell ref="K47:L47"/>
    <mergeCell ref="M47:N47"/>
    <mergeCell ref="L49:N49"/>
    <mergeCell ref="P49:Q49"/>
    <mergeCell ref="R49:R54"/>
    <mergeCell ref="N50:O50"/>
    <mergeCell ref="P50:Q50"/>
    <mergeCell ref="N31:Q34"/>
    <mergeCell ref="N36:Q40"/>
    <mergeCell ref="H37:J37"/>
    <mergeCell ref="L37:M37"/>
    <mergeCell ref="H38:J38"/>
    <mergeCell ref="L38:M38"/>
    <mergeCell ref="L39:M39"/>
    <mergeCell ref="K43:L43"/>
    <mergeCell ref="M43:N43"/>
    <mergeCell ref="K44:L44"/>
    <mergeCell ref="M44:N44"/>
    <mergeCell ref="K45:L45"/>
    <mergeCell ref="M45:N45"/>
    <mergeCell ref="K46:L46"/>
    <mergeCell ref="M46:N46"/>
    <mergeCell ref="H39:J39"/>
    <mergeCell ref="H40:J40"/>
    <mergeCell ref="H41:J41"/>
    <mergeCell ref="H42:J42"/>
    <mergeCell ref="K42:L42"/>
    <mergeCell ref="M42:N42"/>
    <mergeCell ref="R42:R47"/>
    <mergeCell ref="K48:R48"/>
    <mergeCell ref="L50:M50"/>
    <mergeCell ref="L51:M51"/>
  </mergeCells>
  <conditionalFormatting sqref="H2">
    <cfRule type="cellIs" dxfId="0" priority="1" operator="lessThanOrEqual">
      <formula>1</formula>
    </cfRule>
  </conditionalFormatting>
  <conditionalFormatting sqref="P16:Q16">
    <cfRule type="cellIs" dxfId="1" priority="2" operator="between">
      <formula>60</formula>
      <formula>100</formula>
    </cfRule>
  </conditionalFormatting>
  <conditionalFormatting sqref="P16:Q16">
    <cfRule type="cellIs" dxfId="2" priority="3" operator="notBetween">
      <formula>60</formula>
      <formula>100</formula>
    </cfRule>
  </conditionalFormatting>
  <conditionalFormatting sqref="P15:Q15">
    <cfRule type="cellIs" dxfId="1" priority="4" operator="between">
      <formula>60</formula>
      <formula>100</formula>
    </cfRule>
  </conditionalFormatting>
  <conditionalFormatting sqref="P15:Q15">
    <cfRule type="cellIs" dxfId="3" priority="5" operator="notBetween">
      <formula>60</formula>
      <formula>100</formula>
    </cfRule>
  </conditionalFormatting>
  <conditionalFormatting sqref="P17:Q17">
    <cfRule type="cellIs" dxfId="1" priority="6" operator="between">
      <formula>1</formula>
      <formula>3</formula>
    </cfRule>
  </conditionalFormatting>
  <conditionalFormatting sqref="P17:Q17">
    <cfRule type="cellIs" dxfId="3" priority="7" operator="notBetween">
      <formula>1</formula>
      <formula>3</formula>
    </cfRule>
  </conditionalFormatting>
  <conditionalFormatting sqref="N23">
    <cfRule type="cellIs" dxfId="1" priority="8" operator="between">
      <formula>12</formula>
      <formula>20</formula>
    </cfRule>
  </conditionalFormatting>
  <conditionalFormatting sqref="N23">
    <cfRule type="cellIs" dxfId="3" priority="9" operator="notBetween">
      <formula>12</formula>
      <formula>20</formula>
    </cfRule>
  </conditionalFormatting>
  <conditionalFormatting sqref="N24">
    <cfRule type="cellIs" dxfId="1" priority="10" operator="between">
      <formula>21</formula>
      <formula>45</formula>
    </cfRule>
  </conditionalFormatting>
  <conditionalFormatting sqref="N24">
    <cfRule type="cellIs" dxfId="3" priority="11" operator="notBetween">
      <formula>21</formula>
      <formula>45</formula>
    </cfRule>
  </conditionalFormatting>
  <conditionalFormatting sqref="N25">
    <cfRule type="cellIs" dxfId="1" priority="12" operator="between">
      <formula>3</formula>
      <formula>10</formula>
    </cfRule>
  </conditionalFormatting>
  <conditionalFormatting sqref="N25">
    <cfRule type="cellIs" dxfId="3" priority="13" operator="notBetween">
      <formula>3</formula>
      <formula>10</formula>
    </cfRule>
  </conditionalFormatting>
  <conditionalFormatting sqref="L25:L27">
    <cfRule type="cellIs" dxfId="1" priority="14" operator="between">
      <formula>20</formula>
      <formula>35</formula>
    </cfRule>
  </conditionalFormatting>
  <conditionalFormatting sqref="L25:L27">
    <cfRule type="cellIs" dxfId="3" priority="15" operator="notBetween">
      <formula>20</formula>
      <formula>35</formula>
    </cfRule>
  </conditionalFormatting>
  <conditionalFormatting sqref="D17:E17">
    <cfRule type="cellIs" dxfId="4" priority="16" operator="between">
      <formula>60</formula>
      <formula>100</formula>
    </cfRule>
  </conditionalFormatting>
  <conditionalFormatting sqref="D17:E17">
    <cfRule type="cellIs" dxfId="5" priority="17" operator="notBetween">
      <formula>60</formula>
      <formula>90</formula>
    </cfRule>
  </conditionalFormatting>
  <conditionalFormatting sqref="D18">
    <cfRule type="cellIs" dxfId="4" priority="18" operator="between">
      <formula>60</formula>
      <formula>100</formula>
    </cfRule>
  </conditionalFormatting>
  <conditionalFormatting sqref="D18">
    <cfRule type="cellIs" dxfId="5" priority="19" operator="notBetween">
      <formula>60</formula>
      <formula>100</formula>
    </cfRule>
  </conditionalFormatting>
  <conditionalFormatting sqref="E18">
    <cfRule type="cellIs" dxfId="4" priority="20" operator="between">
      <formula>60</formula>
      <formula>100</formula>
    </cfRule>
  </conditionalFormatting>
  <conditionalFormatting sqref="E18">
    <cfRule type="cellIs" dxfId="6" priority="21" operator="notBetween">
      <formula>60</formula>
      <formula>100</formula>
    </cfRule>
  </conditionalFormatting>
  <conditionalFormatting sqref="D19:E19">
    <cfRule type="cellIs" dxfId="4" priority="22" operator="between">
      <formula>12</formula>
      <formula>20</formula>
    </cfRule>
  </conditionalFormatting>
  <conditionalFormatting sqref="D19:E19">
    <cfRule type="cellIs" dxfId="5" priority="23" operator="notBetween">
      <formula>12</formula>
      <formula>20</formula>
    </cfRule>
  </conditionalFormatting>
  <conditionalFormatting sqref="D20:E20">
    <cfRule type="cellIs" dxfId="4" priority="24" operator="between">
      <formula>35</formula>
      <formula>37.7</formula>
    </cfRule>
  </conditionalFormatting>
  <conditionalFormatting sqref="D20:E20">
    <cfRule type="cellIs" dxfId="5" priority="25" operator="notBetween">
      <formula>35</formula>
      <formula>37.7</formula>
    </cfRule>
  </conditionalFormatting>
  <conditionalFormatting sqref="D21:E21">
    <cfRule type="cellIs" dxfId="1" priority="26" operator="between">
      <formula>92</formula>
      <formula>100</formula>
    </cfRule>
  </conditionalFormatting>
  <conditionalFormatting sqref="D21:E21">
    <cfRule type="cellIs" dxfId="5" priority="27" operator="notBetween">
      <formula>92</formula>
      <formula>100</formula>
    </cfRule>
  </conditionalFormatting>
  <conditionalFormatting sqref="D21:E23">
    <cfRule type="cellIs" dxfId="4" priority="28" operator="between">
      <formula>80</formula>
      <formula>180</formula>
    </cfRule>
  </conditionalFormatting>
  <conditionalFormatting sqref="D21:E23">
    <cfRule type="cellIs" dxfId="5" priority="29" operator="notBetween">
      <formula>80</formula>
      <formula>180</formula>
    </cfRule>
  </conditionalFormatting>
  <conditionalFormatting sqref="J15:J16">
    <cfRule type="cellIs" dxfId="1" priority="30" operator="between">
      <formula>500</formula>
      <formula>2500</formula>
    </cfRule>
  </conditionalFormatting>
  <conditionalFormatting sqref="J15:J16">
    <cfRule type="cellIs" dxfId="3" priority="31" operator="notBetween">
      <formula>500</formula>
      <formula>2500</formula>
    </cfRule>
  </conditionalFormatting>
  <conditionalFormatting sqref="D26:E26">
    <cfRule type="cellIs" dxfId="1" priority="32" operator="between">
      <formula>7</formula>
      <formula>16</formula>
    </cfRule>
  </conditionalFormatting>
  <conditionalFormatting sqref="D26:E26">
    <cfRule type="cellIs" dxfId="3" priority="33" operator="notBetween">
      <formula>7</formula>
      <formula>16</formula>
    </cfRule>
  </conditionalFormatting>
  <conditionalFormatting sqref="D28:E28">
    <cfRule type="cellIs" dxfId="1" priority="34" operator="between">
      <formula>4000</formula>
      <formula>12000</formula>
    </cfRule>
  </conditionalFormatting>
  <conditionalFormatting sqref="D28:E28">
    <cfRule type="cellIs" dxfId="3" priority="35" operator="notBetween">
      <formula>4000</formula>
      <formula>12000</formula>
    </cfRule>
  </conditionalFormatting>
  <conditionalFormatting sqref="D29:E29">
    <cfRule type="cellIs" dxfId="1" priority="36" operator="between">
      <formula>150000</formula>
      <formula>500000</formula>
    </cfRule>
  </conditionalFormatting>
  <conditionalFormatting sqref="D29:E29">
    <cfRule type="cellIs" dxfId="3" priority="37" operator="notBetween">
      <formula>150000</formula>
      <formula>500000</formula>
    </cfRule>
  </conditionalFormatting>
  <conditionalFormatting sqref="D31:E31">
    <cfRule type="cellIs" dxfId="1" priority="38" operator="between">
      <formula>10</formula>
      <formula>45</formula>
    </cfRule>
  </conditionalFormatting>
  <conditionalFormatting sqref="D31:E31">
    <cfRule type="cellIs" dxfId="3" priority="39" operator="notBetween">
      <formula>10</formula>
      <formula>45</formula>
    </cfRule>
  </conditionalFormatting>
  <conditionalFormatting sqref="D32:E32">
    <cfRule type="cellIs" dxfId="1" priority="40" operator="between">
      <formula>0.5</formula>
      <formula>1.4</formula>
    </cfRule>
  </conditionalFormatting>
  <conditionalFormatting sqref="D32:E32">
    <cfRule type="cellIs" dxfId="3" priority="41" operator="notBetween">
      <formula>0.5</formula>
      <formula>1.4</formula>
    </cfRule>
  </conditionalFormatting>
  <conditionalFormatting sqref="D33:E33">
    <cfRule type="cellIs" dxfId="1" priority="42" operator="between">
      <formula>135</formula>
      <formula>145</formula>
    </cfRule>
  </conditionalFormatting>
  <conditionalFormatting sqref="D33:E33">
    <cfRule type="cellIs" dxfId="3" priority="43" operator="notBetween">
      <formula>135</formula>
      <formula>145</formula>
    </cfRule>
  </conditionalFormatting>
  <conditionalFormatting sqref="D34:E34">
    <cfRule type="cellIs" dxfId="1" priority="44" operator="between">
      <formula>3.5</formula>
      <formula>5.5</formula>
    </cfRule>
  </conditionalFormatting>
  <conditionalFormatting sqref="D34:E34">
    <cfRule type="cellIs" dxfId="3" priority="45" operator="notBetween">
      <formula>3.5</formula>
      <formula>5.5</formula>
    </cfRule>
  </conditionalFormatting>
  <conditionalFormatting sqref="D38:E38">
    <cfRule type="cellIs" dxfId="1" priority="46" operator="between">
      <formula>0</formula>
      <formula>0.1</formula>
    </cfRule>
  </conditionalFormatting>
  <conditionalFormatting sqref="D38:E38">
    <cfRule type="cellIs" dxfId="3" priority="47" operator="notBetween">
      <formula>0</formula>
      <formula>0.1</formula>
    </cfRule>
  </conditionalFormatting>
  <conditionalFormatting sqref="D45:E45">
    <cfRule type="cellIs" dxfId="1" priority="48" operator="between">
      <formula>7.35</formula>
      <formula>7.45</formula>
    </cfRule>
  </conditionalFormatting>
  <conditionalFormatting sqref="D45:E45">
    <cfRule type="cellIs" dxfId="3" priority="49" operator="notBetween">
      <formula>7.35</formula>
      <formula>7.45</formula>
    </cfRule>
  </conditionalFormatting>
  <conditionalFormatting sqref="D46:E46">
    <cfRule type="cellIs" dxfId="1" priority="50" operator="between">
      <formula>35</formula>
      <formula>45</formula>
    </cfRule>
  </conditionalFormatting>
  <conditionalFormatting sqref="D46:E46">
    <cfRule type="cellIs" dxfId="3" priority="51" operator="notBetween">
      <formula>35</formula>
      <formula>45</formula>
    </cfRule>
  </conditionalFormatting>
  <conditionalFormatting sqref="D47:E47">
    <cfRule type="cellIs" dxfId="1" priority="52" operator="between">
      <formula>60</formula>
      <formula>100</formula>
    </cfRule>
  </conditionalFormatting>
  <conditionalFormatting sqref="D47:E47">
    <cfRule type="cellIs" dxfId="3" priority="53" operator="notBetween">
      <formula>60</formula>
      <formula>100</formula>
    </cfRule>
  </conditionalFormatting>
  <conditionalFormatting sqref="D48 E49">
    <cfRule type="cellIs" dxfId="1" priority="54" operator="between">
      <formula>18</formula>
      <formula>30</formula>
    </cfRule>
  </conditionalFormatting>
  <conditionalFormatting sqref="D48 E49">
    <cfRule type="cellIs" dxfId="3" priority="55" operator="notBetween">
      <formula>18</formula>
      <formula>30</formula>
    </cfRule>
  </conditionalFormatting>
  <conditionalFormatting sqref="D49">
    <cfRule type="cellIs" dxfId="1" priority="56" operator="between">
      <formula>-2</formula>
      <formula>2</formula>
    </cfRule>
  </conditionalFormatting>
  <conditionalFormatting sqref="D49">
    <cfRule type="cellIs" dxfId="3" priority="57" operator="notBetween">
      <formula>-2</formula>
      <formula>2</formula>
    </cfRule>
  </conditionalFormatting>
  <conditionalFormatting sqref="D50:E50">
    <cfRule type="cellIs" dxfId="1" priority="58" operator="between">
      <formula>92</formula>
      <formula>100</formula>
    </cfRule>
  </conditionalFormatting>
  <conditionalFormatting sqref="D50:E50">
    <cfRule type="cellIs" dxfId="3" priority="59" operator="notBetween">
      <formula>92</formula>
      <formula>100</formula>
    </cfRule>
  </conditionalFormatting>
  <conditionalFormatting sqref="D51:E51">
    <cfRule type="cellIs" dxfId="1" priority="60" operator="between">
      <formula>400</formula>
      <formula>600</formula>
    </cfRule>
  </conditionalFormatting>
  <conditionalFormatting sqref="D51:E51">
    <cfRule type="cellIs" dxfId="3" priority="61" operator="notBetween">
      <formula>400</formula>
      <formula>600</formula>
    </cfRule>
  </conditionalFormatting>
  <conditionalFormatting sqref="B35">
    <cfRule type="cellIs" dxfId="1" priority="62" operator="between">
      <formula>0</formula>
      <formula>20</formula>
    </cfRule>
  </conditionalFormatting>
  <conditionalFormatting sqref="B35">
    <cfRule type="cellIs" dxfId="7" priority="63" operator="between">
      <formula>20</formula>
      <formula>50</formula>
    </cfRule>
  </conditionalFormatting>
  <conditionalFormatting sqref="B35">
    <cfRule type="cellIs" dxfId="8" priority="64" operator="between">
      <formula>50</formula>
      <formula>100</formula>
    </cfRule>
  </conditionalFormatting>
  <conditionalFormatting sqref="P8:Q8">
    <cfRule type="cellIs" dxfId="1" priority="65" operator="between">
      <formula>13</formula>
      <formula>15</formula>
    </cfRule>
  </conditionalFormatting>
  <conditionalFormatting sqref="P8:Q8">
    <cfRule type="cellIs" dxfId="3" priority="66" operator="notBetween">
      <formula>13</formula>
      <formula>15</formula>
    </cfRule>
  </conditionalFormatting>
  <conditionalFormatting sqref="P9:Q9">
    <cfRule type="cellIs" dxfId="1" priority="67" operator="between">
      <formula>0</formula>
      <formula>-2</formula>
    </cfRule>
  </conditionalFormatting>
  <conditionalFormatting sqref="P9:Q9">
    <cfRule type="cellIs" dxfId="3" priority="68" operator="notBetween">
      <formula>0</formula>
      <formula>-2</formula>
    </cfRule>
  </conditionalFormatting>
  <conditionalFormatting sqref="L49:N49">
    <cfRule type="notContainsBlanks" dxfId="3" priority="69">
      <formula>LEN(TRIM(L49))&gt;0</formula>
    </cfRule>
  </conditionalFormatting>
  <conditionalFormatting sqref="B33">
    <cfRule type="cellIs" dxfId="8" priority="70" operator="lessThan">
      <formula>40</formula>
    </cfRule>
  </conditionalFormatting>
  <conditionalFormatting sqref="B33">
    <cfRule type="cellIs" dxfId="9" priority="71" operator="between">
      <formula>40</formula>
      <formula>60</formula>
    </cfRule>
  </conditionalFormatting>
  <conditionalFormatting sqref="B33">
    <cfRule type="cellIs" dxfId="1" priority="72" operator="greaterThan">
      <formula>60</formula>
    </cfRule>
  </conditionalFormatting>
  <conditionalFormatting sqref="K1:K2">
    <cfRule type="notContainsBlanks" dxfId="8" priority="73">
      <formula>LEN(TRIM(K1))&gt;0</formula>
    </cfRule>
  </conditionalFormatting>
  <dataValidations>
    <dataValidation type="list" allowBlank="1" showErrorMessage="1" sqref="K16:K20">
      <formula1>"NORADRENALINA 4X,NORADRENALINA 8X,VASOPRESSINA 2X,NIPRID 1X, TRIDIL 1X,DOBUTAMINA 4X,DOPAMINA 5X,NIPRIDE X2,INSULINA R."</formula1>
    </dataValidation>
    <dataValidation type="list" allowBlank="1" showErrorMessage="1" sqref="P20 L37 L39">
      <formula1>"SIM,NÃO"</formula1>
    </dataValidation>
    <dataValidation type="list" allowBlank="1" showErrorMessage="1" sqref="L29">
      <formula1>"JEJUM,GERAL,BRANDA,PASTOSA,LEVE,LÍQUIDA C/ RESÍDUO,ÁGUA, CHÁ GELATINA,DIBEN 1.5KCAL,HP ENERGY,ENERGY,DIAMAX,HP 1.2KCAL,ORIGINAL"</formula1>
    </dataValidation>
    <dataValidation type="list" allowBlank="1" showErrorMessage="1" sqref="K9">
      <formula1>"MIDAZOLAM 2X,MIDAZOLAM 5X,FENTANIL 2X, FENTANIL 5X,TRIDIL 1X,DOBUTA 4X,PROPOFOL 5X,CETAMINA 2X,PRECEDEX 2X,ROCURONIO 5X,CETAMINA X1"</formula1>
    </dataValidation>
    <dataValidation type="list" allowBlank="1" showErrorMessage="1" sqref="P49">
      <formula1>"N/A,I,II,III,IV,INCLASSIFICÁVEL"</formula1>
    </dataValidation>
    <dataValidation type="list" allowBlank="1" showErrorMessage="1" sqref="L22">
      <formula1>"TOT,TQT,VNI,CNO2,MNR,VENTURI,AA"</formula1>
    </dataValidation>
    <dataValidation type="list" allowBlank="1" showErrorMessage="1" sqref="P11:P13 P18 L31:L34 L36">
      <formula1>"SIM,NÃO"</formula1>
    </dataValidation>
    <dataValidation type="list" allowBlank="1" showErrorMessage="1" sqref="L23">
      <formula1>"1ºdia,2ºdia,3ºdia,4ºdia,5ºdia"</formula1>
    </dataValidation>
    <dataValidation type="list" allowBlank="1" showErrorMessage="1" sqref="K10:K13">
      <formula1>"MIDAZOLAM,FENTANIL,PROPOFOL,CETAMINA,PRECEDEX,ROCURONIO"</formula1>
    </dataValidation>
    <dataValidation type="list" allowBlank="1" showErrorMessage="1" sqref="P19">
      <formula1>"SIM,NÃO,N/A"</formula1>
    </dataValidation>
    <dataValidation type="list" allowBlank="1" showErrorMessage="1" sqref="M42:M43 M45">
      <formula1>"SIM,NÃO,N/A"</formula1>
    </dataValidation>
    <dataValidation type="list" allowBlank="1" showErrorMessage="1" sqref="O29">
      <formula1>"N/A,ORAL,SNE,GTT,PARENTERAL"</formula1>
    </dataValidation>
    <dataValidation type="list" allowBlank="1" showErrorMessage="1" sqref="M47">
      <formula1>"SANGRAMENTO,AGUARDA CC,QUEDA HB,PLAQUETOPENIA"</formula1>
    </dataValidation>
    <dataValidation type="list" allowBlank="1" showErrorMessage="1" sqref="M44 M46 L51:L53">
      <formula1>"SIM,NÃO,N/A"</formula1>
    </dataValidation>
  </dataValidations>
  <hyperlinks>
    <hyperlink r:id="rId1" ref="H38"/>
    <hyperlink r:id="rId2" ref="H39"/>
  </hyperlinks>
  <printOptions gridLines="1" horizontalCentered="1"/>
  <pageMargins bottom="0.14871749934278886" footer="0.0" header="0.0" left="0.18589687417848605" right="0.18589687417848605" top="0.18589687417848605"/>
  <pageSetup paperSize="9" cellComments="atEnd" orientation="landscape" pageOrder="overThenDown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0.63"/>
    <col customWidth="1" min="3" max="3" width="10.38"/>
    <col customWidth="1" min="4" max="4" width="8.88"/>
    <col customWidth="1" min="5" max="5" width="7.0"/>
    <col customWidth="1" min="6" max="6" width="9.63"/>
    <col customWidth="1" min="7" max="7" width="8.63"/>
    <col customWidth="1" min="8" max="8" width="9.13"/>
    <col customWidth="1" min="9" max="9" width="9.5"/>
    <col customWidth="1" min="10" max="10" width="9.38"/>
    <col customWidth="1" min="11" max="11" width="19.5"/>
    <col customWidth="1" min="12" max="12" width="9.75"/>
    <col customWidth="1" min="13" max="13" width="8.13"/>
    <col customWidth="1" min="14" max="14" width="7.0"/>
    <col customWidth="1" min="15" max="15" width="13.13"/>
    <col customWidth="1" min="16" max="16" width="6.0"/>
    <col customWidth="1" min="17" max="17" width="9.25"/>
    <col customWidth="1" min="18" max="18" width="25.63"/>
  </cols>
  <sheetData>
    <row r="1" ht="16.5" customHeight="1">
      <c r="A1" s="43" t="s">
        <v>24</v>
      </c>
      <c r="B1" s="328">
        <v>578852.0</v>
      </c>
      <c r="C1" s="45" t="s">
        <v>25</v>
      </c>
      <c r="D1" s="329" t="s">
        <v>349</v>
      </c>
      <c r="E1" s="47"/>
      <c r="F1" s="47"/>
      <c r="G1" s="48"/>
      <c r="H1" s="49" t="s">
        <v>4</v>
      </c>
      <c r="I1" s="330">
        <v>47.0</v>
      </c>
      <c r="J1" s="51" t="s">
        <v>350</v>
      </c>
      <c r="K1" s="52" t="s">
        <v>351</v>
      </c>
      <c r="L1" s="53" t="s">
        <v>28</v>
      </c>
      <c r="M1" s="331" t="s">
        <v>352</v>
      </c>
      <c r="N1" s="55"/>
      <c r="O1" s="55"/>
      <c r="P1" s="55"/>
      <c r="Q1" s="56"/>
      <c r="R1" s="57" t="s">
        <v>353</v>
      </c>
    </row>
    <row r="2" ht="27.75" customHeight="1">
      <c r="A2" s="58" t="s">
        <v>31</v>
      </c>
      <c r="B2" s="332">
        <v>46005.0</v>
      </c>
      <c r="C2" s="60" t="s">
        <v>32</v>
      </c>
      <c r="D2" s="333">
        <v>46005.0</v>
      </c>
      <c r="E2" s="62" t="s">
        <v>33</v>
      </c>
      <c r="F2" s="63"/>
      <c r="G2" s="64" t="s">
        <v>34</v>
      </c>
      <c r="H2" s="239"/>
      <c r="I2" s="66"/>
      <c r="J2" s="67"/>
      <c r="K2" s="67"/>
      <c r="L2" s="67"/>
      <c r="M2" s="68"/>
      <c r="N2" s="69"/>
      <c r="O2" s="69"/>
      <c r="P2" s="69"/>
      <c r="Q2" s="70"/>
      <c r="R2" s="71">
        <v>4.0</v>
      </c>
    </row>
    <row r="3" ht="36.0" customHeight="1">
      <c r="A3" s="72" t="s">
        <v>35</v>
      </c>
      <c r="B3" s="73" t="s">
        <v>354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66"/>
      <c r="R3" s="75" t="s">
        <v>37</v>
      </c>
    </row>
    <row r="4" ht="30.75" customHeight="1">
      <c r="A4" s="72" t="s">
        <v>38</v>
      </c>
      <c r="B4" s="334" t="s">
        <v>355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66"/>
      <c r="R4" s="76">
        <v>46006.0</v>
      </c>
    </row>
    <row r="5" ht="12.75" customHeight="1">
      <c r="A5" s="77" t="s">
        <v>40</v>
      </c>
      <c r="B5" s="335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80"/>
      <c r="R5" s="81"/>
    </row>
    <row r="6" ht="12.75" customHeight="1">
      <c r="A6" s="82" t="s">
        <v>42</v>
      </c>
      <c r="B6" s="83"/>
      <c r="C6" s="82" t="s">
        <v>43</v>
      </c>
      <c r="D6" s="84"/>
      <c r="E6" s="84"/>
      <c r="F6" s="84"/>
      <c r="G6" s="84"/>
      <c r="H6" s="84"/>
      <c r="I6" s="84"/>
      <c r="J6" s="83"/>
      <c r="K6" s="85" t="s">
        <v>44</v>
      </c>
      <c r="L6" s="55"/>
      <c r="M6" s="55"/>
      <c r="N6" s="55"/>
      <c r="O6" s="55"/>
      <c r="P6" s="55"/>
      <c r="Q6" s="56"/>
      <c r="R6" s="86" t="s">
        <v>45</v>
      </c>
    </row>
    <row r="7" ht="12.75" customHeight="1">
      <c r="A7" s="87" t="s">
        <v>46</v>
      </c>
      <c r="B7" s="88"/>
      <c r="C7" s="89" t="s">
        <v>47</v>
      </c>
      <c r="D7" s="69"/>
      <c r="E7" s="69"/>
      <c r="F7" s="69"/>
      <c r="G7" s="69"/>
      <c r="H7" s="69"/>
      <c r="I7" s="69"/>
      <c r="J7" s="90"/>
      <c r="K7" s="91" t="s">
        <v>48</v>
      </c>
      <c r="L7" s="92"/>
      <c r="M7" s="92"/>
      <c r="N7" s="92"/>
      <c r="O7" s="92"/>
      <c r="P7" s="92"/>
      <c r="Q7" s="92"/>
      <c r="R7" s="93"/>
    </row>
    <row r="8" ht="12.75" customHeight="1">
      <c r="A8" s="94"/>
      <c r="B8" s="90"/>
      <c r="C8" s="95" t="s">
        <v>356</v>
      </c>
      <c r="D8" s="79"/>
      <c r="E8" s="79"/>
      <c r="F8" s="79"/>
      <c r="G8" s="79"/>
      <c r="H8" s="79"/>
      <c r="I8" s="79"/>
      <c r="J8" s="96"/>
      <c r="K8" s="97" t="s">
        <v>50</v>
      </c>
      <c r="L8" s="98" t="s">
        <v>51</v>
      </c>
      <c r="M8" s="98" t="s">
        <v>52</v>
      </c>
      <c r="N8" s="99" t="s">
        <v>53</v>
      </c>
      <c r="O8" s="100" t="s">
        <v>54</v>
      </c>
      <c r="P8" s="101">
        <v>15.0</v>
      </c>
      <c r="Q8" s="70"/>
      <c r="R8" s="102" t="s">
        <v>357</v>
      </c>
    </row>
    <row r="9" ht="12.75" customHeight="1">
      <c r="A9" s="103" t="s">
        <v>358</v>
      </c>
      <c r="B9" s="96"/>
      <c r="J9" s="88"/>
      <c r="K9" s="104"/>
      <c r="L9" s="105"/>
      <c r="M9" s="336"/>
      <c r="N9" s="113"/>
      <c r="O9" s="108" t="s">
        <v>58</v>
      </c>
      <c r="P9" s="109"/>
      <c r="Q9" s="66"/>
      <c r="R9" s="110"/>
    </row>
    <row r="10" ht="12.75" customHeight="1">
      <c r="A10" s="111"/>
      <c r="B10" s="88"/>
      <c r="J10" s="88"/>
      <c r="K10" s="104"/>
      <c r="L10" s="112"/>
      <c r="M10" s="296"/>
      <c r="N10" s="113"/>
      <c r="O10" s="108" t="s">
        <v>59</v>
      </c>
      <c r="P10" s="109" t="s">
        <v>60</v>
      </c>
      <c r="Q10" s="66"/>
      <c r="R10" s="110"/>
    </row>
    <row r="11">
      <c r="A11" s="111"/>
      <c r="B11" s="88"/>
      <c r="J11" s="88"/>
      <c r="K11" s="104"/>
      <c r="L11" s="112"/>
      <c r="M11" s="112"/>
      <c r="N11" s="114"/>
      <c r="O11" s="115" t="s">
        <v>61</v>
      </c>
      <c r="P11" s="116" t="s">
        <v>306</v>
      </c>
      <c r="Q11" s="66"/>
      <c r="R11" s="110"/>
    </row>
    <row r="12">
      <c r="A12" s="111"/>
      <c r="B12" s="88"/>
      <c r="J12" s="88"/>
      <c r="K12" s="104"/>
      <c r="L12" s="112"/>
      <c r="M12" s="112"/>
      <c r="N12" s="113"/>
      <c r="O12" s="108" t="s">
        <v>63</v>
      </c>
      <c r="P12" s="116" t="s">
        <v>306</v>
      </c>
      <c r="Q12" s="66"/>
      <c r="R12" s="110"/>
    </row>
    <row r="13">
      <c r="A13" s="111"/>
      <c r="B13" s="88"/>
      <c r="C13" s="69"/>
      <c r="D13" s="69"/>
      <c r="E13" s="69"/>
      <c r="F13" s="69"/>
      <c r="G13" s="69"/>
      <c r="H13" s="69"/>
      <c r="I13" s="69"/>
      <c r="J13" s="90"/>
      <c r="K13" s="117"/>
      <c r="L13" s="118"/>
      <c r="M13" s="118"/>
      <c r="N13" s="119"/>
      <c r="O13" s="120" t="s">
        <v>64</v>
      </c>
      <c r="P13" s="121" t="s">
        <v>65</v>
      </c>
      <c r="Q13" s="80"/>
      <c r="R13" s="81"/>
    </row>
    <row r="14" ht="12.75" customHeight="1">
      <c r="A14" s="122" t="s">
        <v>66</v>
      </c>
      <c r="B14" s="123"/>
      <c r="C14" s="124" t="s">
        <v>67</v>
      </c>
      <c r="D14" s="47"/>
      <c r="E14" s="123"/>
      <c r="F14" s="124" t="s">
        <v>68</v>
      </c>
      <c r="G14" s="47"/>
      <c r="H14" s="123"/>
      <c r="I14" s="124" t="s">
        <v>69</v>
      </c>
      <c r="J14" s="123"/>
      <c r="K14" s="91" t="s">
        <v>70</v>
      </c>
      <c r="L14" s="92"/>
      <c r="M14" s="92"/>
      <c r="N14" s="92"/>
      <c r="O14" s="92"/>
      <c r="P14" s="92"/>
      <c r="Q14" s="92"/>
      <c r="R14" s="93"/>
    </row>
    <row r="15" ht="12.75" customHeight="1">
      <c r="A15" s="125" t="s">
        <v>71</v>
      </c>
      <c r="B15" s="126"/>
      <c r="C15" s="127" t="s">
        <v>72</v>
      </c>
      <c r="E15" s="128">
        <v>24.0</v>
      </c>
      <c r="F15" s="129" t="s">
        <v>37</v>
      </c>
      <c r="G15" s="130" t="s">
        <v>73</v>
      </c>
      <c r="H15" s="131" t="s">
        <v>74</v>
      </c>
      <c r="I15" s="132" t="s">
        <v>75</v>
      </c>
      <c r="J15" s="144">
        <v>500.0</v>
      </c>
      <c r="K15" s="97" t="s">
        <v>76</v>
      </c>
      <c r="L15" s="98" t="s">
        <v>51</v>
      </c>
      <c r="M15" s="98" t="s">
        <v>52</v>
      </c>
      <c r="N15" s="99" t="s">
        <v>53</v>
      </c>
      <c r="O15" s="134" t="s">
        <v>359</v>
      </c>
      <c r="P15" s="101">
        <v>92.0</v>
      </c>
      <c r="Q15" s="70"/>
      <c r="R15" s="102" t="s">
        <v>360</v>
      </c>
    </row>
    <row r="16" ht="12.75" customHeight="1">
      <c r="A16" s="135" t="s">
        <v>79</v>
      </c>
      <c r="B16" s="136" t="b">
        <v>0</v>
      </c>
      <c r="C16" s="137"/>
      <c r="D16" s="138" t="s">
        <v>80</v>
      </c>
      <c r="E16" s="138" t="s">
        <v>81</v>
      </c>
      <c r="F16" s="222"/>
      <c r="G16" s="112"/>
      <c r="H16" s="140"/>
      <c r="I16" s="141"/>
      <c r="J16" s="142"/>
      <c r="K16" s="104"/>
      <c r="L16" s="105"/>
      <c r="M16" s="106"/>
      <c r="N16" s="107"/>
      <c r="O16" s="108" t="s">
        <v>83</v>
      </c>
      <c r="P16" s="109">
        <v>87.0</v>
      </c>
      <c r="Q16" s="66"/>
      <c r="R16" s="110"/>
    </row>
    <row r="17" ht="12.75" customHeight="1">
      <c r="A17" s="135" t="s">
        <v>84</v>
      </c>
      <c r="B17" s="136" t="b">
        <v>1</v>
      </c>
      <c r="C17" s="139" t="s">
        <v>262</v>
      </c>
      <c r="D17" s="143">
        <v>82.0</v>
      </c>
      <c r="E17" s="322">
        <v>98.0</v>
      </c>
      <c r="F17" s="139"/>
      <c r="G17" s="112"/>
      <c r="H17" s="140"/>
      <c r="I17" s="132" t="s">
        <v>86</v>
      </c>
      <c r="J17" s="144" t="s">
        <v>264</v>
      </c>
      <c r="K17" s="104"/>
      <c r="L17" s="105"/>
      <c r="M17" s="296"/>
      <c r="N17" s="113"/>
      <c r="O17" s="108" t="s">
        <v>89</v>
      </c>
      <c r="P17" s="109">
        <v>3.0</v>
      </c>
      <c r="Q17" s="66"/>
      <c r="R17" s="110"/>
    </row>
    <row r="18" ht="12.75" customHeight="1">
      <c r="A18" s="146" t="s">
        <v>90</v>
      </c>
      <c r="B18" s="147" t="b">
        <v>0</v>
      </c>
      <c r="C18" s="139" t="s">
        <v>83</v>
      </c>
      <c r="D18" s="143">
        <v>66.0</v>
      </c>
      <c r="E18" s="298">
        <v>84.0</v>
      </c>
      <c r="F18" s="139"/>
      <c r="G18" s="112"/>
      <c r="H18" s="140"/>
      <c r="I18" s="141"/>
      <c r="J18" s="142"/>
      <c r="K18" s="104"/>
      <c r="L18" s="105"/>
      <c r="M18" s="145"/>
      <c r="N18" s="148"/>
      <c r="O18" s="149" t="s">
        <v>91</v>
      </c>
      <c r="P18" s="116" t="s">
        <v>65</v>
      </c>
      <c r="Q18" s="66"/>
      <c r="R18" s="110"/>
    </row>
    <row r="19" ht="12.75" customHeight="1">
      <c r="A19" s="122" t="s">
        <v>93</v>
      </c>
      <c r="B19" s="123"/>
      <c r="C19" s="139" t="s">
        <v>94</v>
      </c>
      <c r="D19" s="143">
        <v>16.0</v>
      </c>
      <c r="E19" s="322">
        <v>20.0</v>
      </c>
      <c r="F19" s="139"/>
      <c r="G19" s="112"/>
      <c r="H19" s="140"/>
      <c r="I19" s="132" t="s">
        <v>95</v>
      </c>
      <c r="J19" s="150" t="s">
        <v>361</v>
      </c>
      <c r="K19" s="104"/>
      <c r="L19" s="105"/>
      <c r="M19" s="296"/>
      <c r="N19" s="148"/>
      <c r="O19" s="149" t="s">
        <v>96</v>
      </c>
      <c r="P19" s="116" t="s">
        <v>306</v>
      </c>
      <c r="Q19" s="66"/>
      <c r="R19" s="110"/>
    </row>
    <row r="20" ht="12.75" customHeight="1">
      <c r="A20" s="135" t="s">
        <v>97</v>
      </c>
      <c r="B20" s="136" t="b">
        <v>1</v>
      </c>
      <c r="C20" s="139" t="s">
        <v>98</v>
      </c>
      <c r="D20" s="323">
        <v>36.0</v>
      </c>
      <c r="E20" s="298" t="s">
        <v>362</v>
      </c>
      <c r="F20" s="152" t="s">
        <v>99</v>
      </c>
      <c r="G20" s="74"/>
      <c r="H20" s="126"/>
      <c r="I20" s="141"/>
      <c r="J20" s="142"/>
      <c r="K20" s="117"/>
      <c r="L20" s="153"/>
      <c r="M20" s="118"/>
      <c r="N20" s="119"/>
      <c r="O20" s="120" t="s">
        <v>100</v>
      </c>
      <c r="P20" s="121" t="s">
        <v>92</v>
      </c>
      <c r="Q20" s="80"/>
      <c r="R20" s="81"/>
    </row>
    <row r="21" ht="12.75" customHeight="1">
      <c r="A21" s="135" t="s">
        <v>101</v>
      </c>
      <c r="B21" s="136" t="b">
        <v>0</v>
      </c>
      <c r="C21" s="139" t="s">
        <v>102</v>
      </c>
      <c r="D21" s="143">
        <v>94.0</v>
      </c>
      <c r="E21" s="298">
        <v>96.0</v>
      </c>
      <c r="F21" s="154" t="s">
        <v>363</v>
      </c>
      <c r="G21" s="66"/>
      <c r="H21" s="140">
        <v>450.0</v>
      </c>
      <c r="I21" s="152" t="s">
        <v>104</v>
      </c>
      <c r="J21" s="126"/>
      <c r="K21" s="91" t="s">
        <v>105</v>
      </c>
      <c r="L21" s="92"/>
      <c r="M21" s="92"/>
      <c r="N21" s="92"/>
      <c r="O21" s="92"/>
      <c r="P21" s="92"/>
      <c r="Q21" s="92"/>
      <c r="R21" s="93"/>
    </row>
    <row r="22" ht="12.75" customHeight="1">
      <c r="A22" s="146" t="s">
        <v>106</v>
      </c>
      <c r="B22" s="147" t="b">
        <v>0</v>
      </c>
      <c r="C22" s="139" t="s">
        <v>107</v>
      </c>
      <c r="D22" s="143">
        <v>101.0</v>
      </c>
      <c r="E22" s="298">
        <v>119.0</v>
      </c>
      <c r="F22" s="154" t="s">
        <v>364</v>
      </c>
      <c r="G22" s="66"/>
      <c r="H22" s="140">
        <v>0.0</v>
      </c>
      <c r="I22" s="218" t="s">
        <v>365</v>
      </c>
      <c r="J22" s="96"/>
      <c r="K22" s="301" t="s">
        <v>108</v>
      </c>
      <c r="L22" s="302" t="s">
        <v>109</v>
      </c>
      <c r="M22" s="303" t="s">
        <v>110</v>
      </c>
      <c r="N22" s="304"/>
      <c r="O22" s="160" t="s">
        <v>111</v>
      </c>
      <c r="P22" s="157"/>
      <c r="Q22" s="161" t="s">
        <v>112</v>
      </c>
      <c r="R22" s="102" t="s">
        <v>366</v>
      </c>
    </row>
    <row r="23" ht="12.75" customHeight="1">
      <c r="A23" s="122" t="s">
        <v>114</v>
      </c>
      <c r="B23" s="123"/>
      <c r="C23" s="139"/>
      <c r="D23" s="337"/>
      <c r="E23" s="338"/>
      <c r="F23" s="164"/>
      <c r="G23" s="165"/>
      <c r="H23" s="163"/>
      <c r="I23" s="166"/>
      <c r="J23" s="167"/>
      <c r="K23" s="168" t="s">
        <v>115</v>
      </c>
      <c r="L23" s="169"/>
      <c r="M23" s="170" t="s">
        <v>94</v>
      </c>
      <c r="N23" s="169">
        <v>17.0</v>
      </c>
      <c r="O23" s="170" t="s">
        <v>116</v>
      </c>
      <c r="P23" s="169"/>
      <c r="Q23" s="171"/>
      <c r="R23" s="110"/>
    </row>
    <row r="24" ht="12.75" customHeight="1">
      <c r="A24" s="103"/>
      <c r="B24" s="96"/>
      <c r="C24" s="122" t="s">
        <v>118</v>
      </c>
      <c r="D24" s="47"/>
      <c r="E24" s="123"/>
      <c r="F24" s="172" t="s">
        <v>119</v>
      </c>
      <c r="G24" s="47"/>
      <c r="H24" s="47"/>
      <c r="I24" s="47"/>
      <c r="J24" s="123"/>
      <c r="K24" s="168" t="s">
        <v>120</v>
      </c>
      <c r="L24" s="169"/>
      <c r="M24" s="170" t="s">
        <v>121</v>
      </c>
      <c r="N24" s="169"/>
      <c r="O24" s="170" t="s">
        <v>122</v>
      </c>
      <c r="P24" s="169"/>
      <c r="Q24" s="173" t="s">
        <v>123</v>
      </c>
      <c r="R24" s="110"/>
    </row>
    <row r="25" ht="12.75" customHeight="1">
      <c r="A25" s="111"/>
      <c r="B25" s="88"/>
      <c r="C25" s="174"/>
      <c r="D25" s="175" t="s">
        <v>124</v>
      </c>
      <c r="E25" s="176" t="s">
        <v>125</v>
      </c>
      <c r="F25" s="177" t="s">
        <v>37</v>
      </c>
      <c r="G25" s="178" t="s">
        <v>126</v>
      </c>
      <c r="H25" s="179" t="s">
        <v>127</v>
      </c>
      <c r="I25" s="74"/>
      <c r="J25" s="126"/>
      <c r="K25" s="168" t="s">
        <v>128</v>
      </c>
      <c r="L25" s="169"/>
      <c r="M25" s="170" t="s">
        <v>129</v>
      </c>
      <c r="N25" s="169"/>
      <c r="O25" s="170" t="s">
        <v>130</v>
      </c>
      <c r="P25" s="169"/>
      <c r="Q25" s="171"/>
      <c r="R25" s="110"/>
    </row>
    <row r="26" ht="12.75" customHeight="1">
      <c r="A26" s="111"/>
      <c r="B26" s="88"/>
      <c r="C26" s="135" t="s">
        <v>132</v>
      </c>
      <c r="D26" s="136">
        <v>10.9</v>
      </c>
      <c r="E26" s="136">
        <v>11.0</v>
      </c>
      <c r="F26" s="339">
        <v>46005.0</v>
      </c>
      <c r="G26" s="182" t="s">
        <v>367</v>
      </c>
      <c r="H26" s="187"/>
      <c r="I26" s="74"/>
      <c r="J26" s="126"/>
      <c r="K26" s="168" t="s">
        <v>135</v>
      </c>
      <c r="L26" s="184"/>
      <c r="M26" s="170" t="s">
        <v>136</v>
      </c>
      <c r="N26" s="169"/>
      <c r="O26" s="170" t="s">
        <v>137</v>
      </c>
      <c r="P26" s="169"/>
      <c r="Q26" s="173" t="s">
        <v>138</v>
      </c>
      <c r="R26" s="110"/>
    </row>
    <row r="27" ht="17.25" customHeight="1">
      <c r="A27" s="111"/>
      <c r="B27" s="88"/>
      <c r="C27" s="135" t="s">
        <v>139</v>
      </c>
      <c r="D27" s="136"/>
      <c r="E27" s="136"/>
      <c r="F27" s="339">
        <v>46005.0</v>
      </c>
      <c r="G27" s="182" t="s">
        <v>326</v>
      </c>
      <c r="H27" s="187"/>
      <c r="I27" s="74"/>
      <c r="J27" s="126"/>
      <c r="K27" s="188" t="s">
        <v>140</v>
      </c>
      <c r="L27" s="189"/>
      <c r="M27" s="190" t="s">
        <v>141</v>
      </c>
      <c r="N27" s="189"/>
      <c r="O27" s="190" t="s">
        <v>142</v>
      </c>
      <c r="P27" s="189"/>
      <c r="Q27" s="180"/>
      <c r="R27" s="81"/>
    </row>
    <row r="28" ht="12.75" customHeight="1">
      <c r="A28" s="166"/>
      <c r="B28" s="167"/>
      <c r="C28" s="135" t="s">
        <v>143</v>
      </c>
      <c r="D28" s="340">
        <v>45875.0</v>
      </c>
      <c r="E28" s="136">
        <v>8210.0</v>
      </c>
      <c r="F28" s="339">
        <v>46008.0</v>
      </c>
      <c r="G28" s="182" t="s">
        <v>271</v>
      </c>
      <c r="H28" s="183"/>
      <c r="I28" s="74"/>
      <c r="J28" s="126"/>
      <c r="K28" s="91" t="s">
        <v>144</v>
      </c>
      <c r="L28" s="92"/>
      <c r="M28" s="92"/>
      <c r="N28" s="92"/>
      <c r="O28" s="92"/>
      <c r="P28" s="92"/>
      <c r="Q28" s="92"/>
      <c r="R28" s="93"/>
    </row>
    <row r="29" ht="12.75" customHeight="1">
      <c r="A29" s="124" t="s">
        <v>145</v>
      </c>
      <c r="B29" s="123"/>
      <c r="C29" s="135" t="s">
        <v>146</v>
      </c>
      <c r="D29" s="191"/>
      <c r="E29" s="191"/>
      <c r="F29" s="185"/>
      <c r="G29" s="186"/>
      <c r="H29" s="187"/>
      <c r="I29" s="74"/>
      <c r="J29" s="126"/>
      <c r="K29" s="341" t="s">
        <v>5</v>
      </c>
      <c r="L29" s="342" t="s">
        <v>276</v>
      </c>
      <c r="M29" s="70"/>
      <c r="N29" s="196" t="s">
        <v>148</v>
      </c>
      <c r="O29" s="343" t="s">
        <v>368</v>
      </c>
      <c r="P29" s="196" t="s">
        <v>149</v>
      </c>
      <c r="Q29" s="197">
        <v>80.0</v>
      </c>
      <c r="R29" s="102" t="s">
        <v>369</v>
      </c>
    </row>
    <row r="30" ht="12.75" customHeight="1">
      <c r="A30" s="139" t="s">
        <v>151</v>
      </c>
      <c r="B30" s="140" t="s">
        <v>370</v>
      </c>
      <c r="C30" s="135" t="s">
        <v>153</v>
      </c>
      <c r="D30" s="136">
        <v>84.0</v>
      </c>
      <c r="E30" s="136">
        <v>67.0</v>
      </c>
      <c r="F30" s="185"/>
      <c r="G30" s="186"/>
      <c r="H30" s="187"/>
      <c r="I30" s="74"/>
      <c r="J30" s="126"/>
      <c r="K30" s="168" t="s">
        <v>154</v>
      </c>
      <c r="L30" s="169"/>
      <c r="M30" s="173" t="s">
        <v>156</v>
      </c>
      <c r="N30" s="66"/>
      <c r="O30" s="169" t="s">
        <v>371</v>
      </c>
      <c r="P30" s="170" t="s">
        <v>158</v>
      </c>
      <c r="Q30" s="171" t="s">
        <v>159</v>
      </c>
      <c r="R30" s="110"/>
    </row>
    <row r="31" ht="12.75" customHeight="1">
      <c r="A31" s="139" t="s">
        <v>160</v>
      </c>
      <c r="B31" s="140" t="s">
        <v>372</v>
      </c>
      <c r="C31" s="135" t="s">
        <v>162</v>
      </c>
      <c r="D31" s="136"/>
      <c r="E31" s="136"/>
      <c r="F31" s="139"/>
      <c r="G31" s="112"/>
      <c r="H31" s="187"/>
      <c r="I31" s="74"/>
      <c r="J31" s="126"/>
      <c r="K31" s="168" t="s">
        <v>163</v>
      </c>
      <c r="L31" s="202" t="s">
        <v>92</v>
      </c>
      <c r="M31" s="66"/>
      <c r="N31" s="203" t="s">
        <v>373</v>
      </c>
      <c r="O31" s="79"/>
      <c r="P31" s="79"/>
      <c r="Q31" s="80"/>
      <c r="R31" s="110"/>
    </row>
    <row r="32" ht="12.75" customHeight="1">
      <c r="A32" s="139" t="s">
        <v>165</v>
      </c>
      <c r="B32" s="140" t="s">
        <v>374</v>
      </c>
      <c r="C32" s="135" t="s">
        <v>167</v>
      </c>
      <c r="D32" s="136"/>
      <c r="E32" s="136"/>
      <c r="F32" s="139"/>
      <c r="G32" s="112"/>
      <c r="H32" s="187"/>
      <c r="I32" s="74"/>
      <c r="J32" s="126"/>
      <c r="K32" s="204" t="s">
        <v>168</v>
      </c>
      <c r="L32" s="116" t="s">
        <v>92</v>
      </c>
      <c r="M32" s="66"/>
      <c r="N32" s="205"/>
      <c r="Q32" s="206"/>
      <c r="R32" s="110"/>
    </row>
    <row r="33" ht="12.75" customHeight="1">
      <c r="A33" s="135" t="s">
        <v>169</v>
      </c>
      <c r="B33" s="136">
        <v>100.0</v>
      </c>
      <c r="C33" s="135" t="s">
        <v>170</v>
      </c>
      <c r="D33" s="136"/>
      <c r="E33" s="136"/>
      <c r="F33" s="139"/>
      <c r="G33" s="112"/>
      <c r="H33" s="187"/>
      <c r="I33" s="74"/>
      <c r="J33" s="126"/>
      <c r="K33" s="204" t="s">
        <v>171</v>
      </c>
      <c r="L33" s="116" t="s">
        <v>92</v>
      </c>
      <c r="M33" s="66"/>
      <c r="N33" s="205"/>
      <c r="Q33" s="206"/>
      <c r="R33" s="110"/>
    </row>
    <row r="34" ht="12.75" customHeight="1">
      <c r="A34" s="174" t="s">
        <v>172</v>
      </c>
      <c r="B34" s="136">
        <v>38.0</v>
      </c>
      <c r="C34" s="135" t="s">
        <v>173</v>
      </c>
      <c r="D34" s="136">
        <v>3.2</v>
      </c>
      <c r="E34" s="136"/>
      <c r="F34" s="207"/>
      <c r="G34" s="162"/>
      <c r="H34" s="208"/>
      <c r="I34" s="209"/>
      <c r="J34" s="210"/>
      <c r="K34" s="211" t="s">
        <v>174</v>
      </c>
      <c r="L34" s="121" t="s">
        <v>92</v>
      </c>
      <c r="M34" s="80"/>
      <c r="N34" s="68"/>
      <c r="O34" s="69"/>
      <c r="P34" s="69"/>
      <c r="Q34" s="70"/>
      <c r="R34" s="81"/>
    </row>
    <row r="35" ht="12.75" customHeight="1">
      <c r="A35" s="212" t="s">
        <v>175</v>
      </c>
      <c r="B35" s="147">
        <v>7.5</v>
      </c>
      <c r="C35" s="135" t="s">
        <v>176</v>
      </c>
      <c r="D35" s="344"/>
      <c r="E35" s="344"/>
      <c r="F35" s="124" t="s">
        <v>177</v>
      </c>
      <c r="G35" s="47"/>
      <c r="H35" s="47"/>
      <c r="I35" s="47"/>
      <c r="J35" s="123"/>
      <c r="K35" s="91" t="s">
        <v>178</v>
      </c>
      <c r="L35" s="92"/>
      <c r="M35" s="92"/>
      <c r="N35" s="92"/>
      <c r="O35" s="92"/>
      <c r="P35" s="92"/>
      <c r="Q35" s="92"/>
      <c r="R35" s="93"/>
    </row>
    <row r="36" ht="18.75" customHeight="1">
      <c r="A36" s="213" t="s">
        <v>179</v>
      </c>
      <c r="B36" s="123"/>
      <c r="C36" s="135" t="s">
        <v>180</v>
      </c>
      <c r="D36" s="136">
        <v>1.56</v>
      </c>
      <c r="E36" s="136"/>
      <c r="F36" s="129" t="s">
        <v>37</v>
      </c>
      <c r="G36" s="130" t="s">
        <v>126</v>
      </c>
      <c r="H36" s="214" t="s">
        <v>127</v>
      </c>
      <c r="I36" s="74"/>
      <c r="J36" s="126"/>
      <c r="K36" s="215" t="s">
        <v>181</v>
      </c>
      <c r="L36" s="216" t="s">
        <v>92</v>
      </c>
      <c r="M36" s="70"/>
      <c r="N36" s="217" t="s">
        <v>182</v>
      </c>
      <c r="Q36" s="206"/>
      <c r="R36" s="102" t="s">
        <v>375</v>
      </c>
    </row>
    <row r="37" ht="12.75" customHeight="1">
      <c r="A37" s="218" t="s">
        <v>376</v>
      </c>
      <c r="B37" s="96"/>
      <c r="C37" s="135" t="s">
        <v>185</v>
      </c>
      <c r="D37" s="219"/>
      <c r="E37" s="220"/>
      <c r="F37" s="139"/>
      <c r="G37" s="112"/>
      <c r="H37" s="116"/>
      <c r="I37" s="74"/>
      <c r="J37" s="126"/>
      <c r="K37" s="204" t="s">
        <v>188</v>
      </c>
      <c r="L37" s="116" t="s">
        <v>65</v>
      </c>
      <c r="M37" s="66"/>
      <c r="N37" s="205"/>
      <c r="Q37" s="206"/>
      <c r="R37" s="110"/>
    </row>
    <row r="38" ht="12.75" customHeight="1">
      <c r="A38" s="111"/>
      <c r="B38" s="88"/>
      <c r="C38" s="135" t="s">
        <v>189</v>
      </c>
      <c r="D38" s="219"/>
      <c r="E38" s="220"/>
      <c r="F38" s="139"/>
      <c r="G38" s="112"/>
      <c r="H38" s="116"/>
      <c r="I38" s="74"/>
      <c r="J38" s="126"/>
      <c r="K38" s="223" t="s">
        <v>190</v>
      </c>
      <c r="L38" s="224">
        <f>(J15/Q29)/E15</f>
        <v>0.2604166667</v>
      </c>
      <c r="M38" s="66"/>
      <c r="N38" s="205"/>
      <c r="Q38" s="206"/>
      <c r="R38" s="110"/>
    </row>
    <row r="39" ht="12.75" customHeight="1">
      <c r="A39" s="111"/>
      <c r="B39" s="88"/>
      <c r="C39" s="135" t="s">
        <v>191</v>
      </c>
      <c r="D39" s="219"/>
      <c r="E39" s="220"/>
      <c r="F39" s="139"/>
      <c r="G39" s="112"/>
      <c r="H39" s="116"/>
      <c r="I39" s="74"/>
      <c r="J39" s="126"/>
      <c r="K39" s="204" t="s">
        <v>192</v>
      </c>
      <c r="L39" s="116" t="s">
        <v>92</v>
      </c>
      <c r="M39" s="66"/>
      <c r="N39" s="205"/>
      <c r="Q39" s="206"/>
      <c r="R39" s="110"/>
    </row>
    <row r="40" ht="12.75" customHeight="1">
      <c r="A40" s="111"/>
      <c r="B40" s="88"/>
      <c r="C40" s="135" t="s">
        <v>193</v>
      </c>
      <c r="D40" s="219"/>
      <c r="E40" s="220"/>
      <c r="F40" s="139"/>
      <c r="G40" s="112"/>
      <c r="H40" s="116"/>
      <c r="I40" s="74"/>
      <c r="J40" s="126"/>
      <c r="K40" s="211" t="s">
        <v>194</v>
      </c>
      <c r="L40" s="121"/>
      <c r="M40" s="80"/>
      <c r="N40" s="68"/>
      <c r="O40" s="69"/>
      <c r="P40" s="69"/>
      <c r="Q40" s="70"/>
      <c r="R40" s="81"/>
    </row>
    <row r="41" ht="12.75" customHeight="1">
      <c r="A41" s="111"/>
      <c r="B41" s="88"/>
      <c r="C41" s="135" t="s">
        <v>195</v>
      </c>
      <c r="D41" s="225"/>
      <c r="E41" s="220"/>
      <c r="F41" s="139"/>
      <c r="G41" s="112"/>
      <c r="H41" s="116"/>
      <c r="I41" s="74"/>
      <c r="J41" s="126"/>
      <c r="K41" s="91" t="s">
        <v>196</v>
      </c>
      <c r="L41" s="92"/>
      <c r="M41" s="92"/>
      <c r="N41" s="92"/>
      <c r="O41" s="92"/>
      <c r="P41" s="92"/>
      <c r="Q41" s="92"/>
      <c r="R41" s="93"/>
    </row>
    <row r="42" ht="12.75" customHeight="1">
      <c r="A42" s="111"/>
      <c r="B42" s="88"/>
      <c r="C42" s="310" t="s">
        <v>197</v>
      </c>
      <c r="D42" s="227"/>
      <c r="E42" s="228"/>
      <c r="F42" s="207"/>
      <c r="G42" s="162"/>
      <c r="H42" s="229"/>
      <c r="I42" s="209"/>
      <c r="J42" s="210"/>
      <c r="K42" s="230" t="s">
        <v>198</v>
      </c>
      <c r="L42" s="70"/>
      <c r="M42" s="231" t="s">
        <v>92</v>
      </c>
      <c r="N42" s="70"/>
      <c r="O42" s="232" t="s">
        <v>199</v>
      </c>
      <c r="P42" s="232" t="s">
        <v>200</v>
      </c>
      <c r="Q42" s="233" t="s">
        <v>53</v>
      </c>
      <c r="R42" s="102" t="s">
        <v>377</v>
      </c>
    </row>
    <row r="43" ht="19.5" customHeight="1">
      <c r="A43" s="111"/>
      <c r="B43" s="88"/>
      <c r="C43" s="234" t="s">
        <v>202</v>
      </c>
      <c r="D43" s="235"/>
      <c r="E43" s="236"/>
      <c r="F43" s="237" t="s">
        <v>203</v>
      </c>
      <c r="G43" s="47"/>
      <c r="H43" s="47"/>
      <c r="I43" s="47"/>
      <c r="J43" s="123"/>
      <c r="K43" s="238" t="s">
        <v>204</v>
      </c>
      <c r="L43" s="66"/>
      <c r="M43" s="239" t="s">
        <v>92</v>
      </c>
      <c r="N43" s="66"/>
      <c r="O43" s="240" t="s">
        <v>295</v>
      </c>
      <c r="P43" s="256">
        <v>46001.0</v>
      </c>
      <c r="Q43" s="242">
        <v>46008.0</v>
      </c>
      <c r="R43" s="110"/>
    </row>
    <row r="44" ht="12.75" customHeight="1">
      <c r="A44" s="111"/>
      <c r="B44" s="88"/>
      <c r="C44" s="243" t="s">
        <v>296</v>
      </c>
      <c r="D44" s="244"/>
      <c r="E44" s="245"/>
      <c r="F44" s="246" t="s">
        <v>126</v>
      </c>
      <c r="G44" s="247" t="s">
        <v>206</v>
      </c>
      <c r="H44" s="178" t="s">
        <v>207</v>
      </c>
      <c r="I44" s="178" t="s">
        <v>208</v>
      </c>
      <c r="J44" s="248" t="s">
        <v>209</v>
      </c>
      <c r="K44" s="238" t="s">
        <v>210</v>
      </c>
      <c r="L44" s="66"/>
      <c r="M44" s="239" t="s">
        <v>92</v>
      </c>
      <c r="N44" s="66"/>
      <c r="O44" s="249" t="s">
        <v>378</v>
      </c>
      <c r="P44" s="250">
        <v>46001.0</v>
      </c>
      <c r="Q44" s="251">
        <v>46008.0</v>
      </c>
      <c r="R44" s="110"/>
    </row>
    <row r="45" ht="12.75" customHeight="1">
      <c r="A45" s="111"/>
      <c r="B45" s="88"/>
      <c r="C45" s="243" t="s">
        <v>212</v>
      </c>
      <c r="D45" s="252">
        <v>7.36</v>
      </c>
      <c r="E45" s="253"/>
      <c r="F45" s="254" t="s">
        <v>363</v>
      </c>
      <c r="G45" s="112"/>
      <c r="H45" s="112"/>
      <c r="I45" s="259">
        <v>46005.0</v>
      </c>
      <c r="J45" s="140"/>
      <c r="K45" s="238" t="s">
        <v>215</v>
      </c>
      <c r="L45" s="66"/>
      <c r="M45" s="239" t="s">
        <v>92</v>
      </c>
      <c r="N45" s="66"/>
      <c r="O45" s="240"/>
      <c r="P45" s="256"/>
      <c r="Q45" s="258"/>
      <c r="R45" s="110"/>
    </row>
    <row r="46" ht="12.75" customHeight="1">
      <c r="A46" s="111"/>
      <c r="B46" s="88"/>
      <c r="C46" s="243" t="s">
        <v>217</v>
      </c>
      <c r="D46" s="252">
        <v>49.0</v>
      </c>
      <c r="E46" s="253"/>
      <c r="F46" s="254" t="s">
        <v>379</v>
      </c>
      <c r="G46" s="112" t="s">
        <v>380</v>
      </c>
      <c r="H46" s="112"/>
      <c r="I46" s="296">
        <v>46008.0</v>
      </c>
      <c r="J46" s="140"/>
      <c r="K46" s="238" t="s">
        <v>220</v>
      </c>
      <c r="L46" s="66"/>
      <c r="M46" s="239" t="s">
        <v>65</v>
      </c>
      <c r="N46" s="66"/>
      <c r="O46" s="240"/>
      <c r="P46" s="240"/>
      <c r="Q46" s="258"/>
      <c r="R46" s="110"/>
    </row>
    <row r="47" ht="12.75" customHeight="1">
      <c r="A47" s="111"/>
      <c r="B47" s="88"/>
      <c r="C47" s="243" t="s">
        <v>222</v>
      </c>
      <c r="D47" s="252">
        <v>28.0</v>
      </c>
      <c r="E47" s="253"/>
      <c r="F47" s="254" t="s">
        <v>299</v>
      </c>
      <c r="G47" s="112" t="s">
        <v>381</v>
      </c>
      <c r="H47" s="259"/>
      <c r="I47" s="259">
        <v>46005.0</v>
      </c>
      <c r="J47" s="312">
        <v>46008.0</v>
      </c>
      <c r="K47" s="260" t="s">
        <v>225</v>
      </c>
      <c r="L47" s="80"/>
      <c r="M47" s="121"/>
      <c r="N47" s="80"/>
      <c r="O47" s="261"/>
      <c r="P47" s="261"/>
      <c r="Q47" s="262"/>
      <c r="R47" s="81"/>
    </row>
    <row r="48" ht="12.75" customHeight="1">
      <c r="A48" s="111"/>
      <c r="B48" s="88"/>
      <c r="C48" s="243" t="s">
        <v>226</v>
      </c>
      <c r="D48" s="252">
        <v>27.0</v>
      </c>
      <c r="E48" s="253"/>
      <c r="F48" s="254" t="s">
        <v>364</v>
      </c>
      <c r="G48" s="112" t="s">
        <v>382</v>
      </c>
      <c r="H48" s="112"/>
      <c r="I48" s="296">
        <v>46005.0</v>
      </c>
      <c r="J48" s="263"/>
      <c r="K48" s="91" t="s">
        <v>228</v>
      </c>
      <c r="L48" s="92"/>
      <c r="M48" s="92"/>
      <c r="N48" s="92"/>
      <c r="O48" s="92"/>
      <c r="P48" s="92"/>
      <c r="Q48" s="92"/>
      <c r="R48" s="93"/>
    </row>
    <row r="49" ht="12.75" customHeight="1">
      <c r="A49" s="111"/>
      <c r="B49" s="88"/>
      <c r="C49" s="243" t="s">
        <v>229</v>
      </c>
      <c r="D49" s="252">
        <v>1.7</v>
      </c>
      <c r="E49" s="253"/>
      <c r="F49" s="254"/>
      <c r="G49" s="112"/>
      <c r="H49" s="112"/>
      <c r="I49" s="112"/>
      <c r="J49" s="140"/>
      <c r="K49" s="192" t="s">
        <v>232</v>
      </c>
      <c r="L49" s="193" t="s">
        <v>383</v>
      </c>
      <c r="M49" s="69"/>
      <c r="N49" s="70"/>
      <c r="O49" s="194" t="s">
        <v>234</v>
      </c>
      <c r="P49" s="265"/>
      <c r="Q49" s="70"/>
      <c r="R49" s="102" t="s">
        <v>384</v>
      </c>
    </row>
    <row r="50" ht="12.75" customHeight="1">
      <c r="A50" s="111"/>
      <c r="B50" s="88"/>
      <c r="C50" s="243" t="s">
        <v>237</v>
      </c>
      <c r="D50" s="314">
        <v>0.5</v>
      </c>
      <c r="E50" s="253"/>
      <c r="F50" s="254"/>
      <c r="G50" s="112"/>
      <c r="H50" s="112"/>
      <c r="I50" s="112"/>
      <c r="J50" s="140"/>
      <c r="K50" s="266" t="s">
        <v>238</v>
      </c>
      <c r="L50" s="267" t="s">
        <v>385</v>
      </c>
      <c r="M50" s="66"/>
      <c r="N50" s="268" t="s">
        <v>240</v>
      </c>
      <c r="O50" s="66"/>
      <c r="P50" s="269"/>
      <c r="Q50" s="66"/>
      <c r="R50" s="110"/>
    </row>
    <row r="51" ht="12.75" customHeight="1">
      <c r="A51" s="111"/>
      <c r="B51" s="88"/>
      <c r="C51" s="243" t="s">
        <v>241</v>
      </c>
      <c r="D51" s="252"/>
      <c r="E51" s="253"/>
      <c r="F51" s="270"/>
      <c r="G51" s="259"/>
      <c r="H51" s="259"/>
      <c r="I51" s="259"/>
      <c r="J51" s="140"/>
      <c r="K51" s="266" t="s">
        <v>242</v>
      </c>
      <c r="L51" s="267" t="s">
        <v>65</v>
      </c>
      <c r="M51" s="66"/>
      <c r="N51" s="271" t="s">
        <v>386</v>
      </c>
      <c r="O51" s="79"/>
      <c r="P51" s="79"/>
      <c r="Q51" s="80"/>
      <c r="R51" s="110"/>
    </row>
    <row r="52" ht="12.75" customHeight="1">
      <c r="A52" s="111"/>
      <c r="B52" s="88"/>
      <c r="C52" s="243"/>
      <c r="D52" s="252"/>
      <c r="E52" s="253"/>
      <c r="F52" s="254"/>
      <c r="G52" s="112"/>
      <c r="H52" s="112"/>
      <c r="I52" s="112"/>
      <c r="J52" s="263"/>
      <c r="K52" s="266" t="s">
        <v>244</v>
      </c>
      <c r="L52" s="267" t="s">
        <v>92</v>
      </c>
      <c r="M52" s="66"/>
      <c r="N52" s="205"/>
      <c r="Q52" s="206"/>
      <c r="R52" s="110"/>
    </row>
    <row r="53" ht="12.75" customHeight="1">
      <c r="A53" s="111"/>
      <c r="B53" s="88"/>
      <c r="C53" s="272" t="s">
        <v>245</v>
      </c>
      <c r="D53" s="273"/>
      <c r="E53" s="274"/>
      <c r="F53" s="254"/>
      <c r="G53" s="112"/>
      <c r="H53" s="112"/>
      <c r="I53" s="112"/>
      <c r="J53" s="263"/>
      <c r="K53" s="266" t="s">
        <v>246</v>
      </c>
      <c r="L53" s="267" t="s">
        <v>65</v>
      </c>
      <c r="M53" s="66"/>
      <c r="N53" s="205"/>
      <c r="Q53" s="206"/>
      <c r="R53" s="110"/>
    </row>
    <row r="54" ht="12.75" customHeight="1">
      <c r="A54" s="166"/>
      <c r="B54" s="167"/>
      <c r="C54" s="275"/>
      <c r="D54" s="276"/>
      <c r="E54" s="277"/>
      <c r="F54" s="278"/>
      <c r="G54" s="118"/>
      <c r="H54" s="118"/>
      <c r="I54" s="118"/>
      <c r="J54" s="279"/>
      <c r="K54" s="188" t="s">
        <v>247</v>
      </c>
      <c r="L54" s="180">
        <v>5.0</v>
      </c>
      <c r="M54" s="80"/>
      <c r="N54" s="280"/>
      <c r="O54" s="281"/>
      <c r="P54" s="281"/>
      <c r="Q54" s="282"/>
      <c r="R54" s="81"/>
    </row>
    <row r="55" ht="18.75" customHeight="1">
      <c r="A55" s="283" t="s">
        <v>248</v>
      </c>
      <c r="B55" s="315" t="s">
        <v>387</v>
      </c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285"/>
      <c r="Q55" s="285"/>
      <c r="R55" s="286"/>
    </row>
    <row r="56" ht="18.75" customHeight="1">
      <c r="A56" s="287"/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8"/>
      <c r="P56" s="288"/>
      <c r="Q56" s="288"/>
      <c r="R56" s="289"/>
    </row>
  </sheetData>
  <mergeCells count="126">
    <mergeCell ref="B4:Q4"/>
    <mergeCell ref="B5:Q5"/>
    <mergeCell ref="A6:B6"/>
    <mergeCell ref="C6:J6"/>
    <mergeCell ref="K6:Q6"/>
    <mergeCell ref="R8:R13"/>
    <mergeCell ref="P13:Q13"/>
    <mergeCell ref="K14:R14"/>
    <mergeCell ref="C8:J13"/>
    <mergeCell ref="C14:E14"/>
    <mergeCell ref="F14:H14"/>
    <mergeCell ref="I14:J14"/>
    <mergeCell ref="C15:D15"/>
    <mergeCell ref="I15:I16"/>
    <mergeCell ref="J15:J16"/>
    <mergeCell ref="I21:J21"/>
    <mergeCell ref="I22:J23"/>
    <mergeCell ref="I17:I18"/>
    <mergeCell ref="J17:J18"/>
    <mergeCell ref="I19:I20"/>
    <mergeCell ref="J19:J20"/>
    <mergeCell ref="F20:H20"/>
    <mergeCell ref="F21:G21"/>
    <mergeCell ref="F22:G22"/>
    <mergeCell ref="F23:G23"/>
    <mergeCell ref="A24:B28"/>
    <mergeCell ref="A29:B29"/>
    <mergeCell ref="A36:B36"/>
    <mergeCell ref="A37:B54"/>
    <mergeCell ref="C43:E43"/>
    <mergeCell ref="A55:A56"/>
    <mergeCell ref="A7:B8"/>
    <mergeCell ref="A9:B13"/>
    <mergeCell ref="A14:B14"/>
    <mergeCell ref="A15:B15"/>
    <mergeCell ref="A19:B19"/>
    <mergeCell ref="A23:B23"/>
    <mergeCell ref="C24:E24"/>
    <mergeCell ref="P19:Q19"/>
    <mergeCell ref="P20:Q20"/>
    <mergeCell ref="K21:R21"/>
    <mergeCell ref="F24:J24"/>
    <mergeCell ref="H25:J25"/>
    <mergeCell ref="H26:J26"/>
    <mergeCell ref="H27:J27"/>
    <mergeCell ref="H28:J28"/>
    <mergeCell ref="K28:R28"/>
    <mergeCell ref="H29:J29"/>
    <mergeCell ref="L29:M29"/>
    <mergeCell ref="H30:J30"/>
    <mergeCell ref="M30:N30"/>
    <mergeCell ref="H31:J31"/>
    <mergeCell ref="H34:J34"/>
    <mergeCell ref="F35:J35"/>
    <mergeCell ref="H36:J36"/>
    <mergeCell ref="L36:M36"/>
    <mergeCell ref="L31:M31"/>
    <mergeCell ref="H32:J32"/>
    <mergeCell ref="L32:M32"/>
    <mergeCell ref="H33:J33"/>
    <mergeCell ref="L33:M33"/>
    <mergeCell ref="L34:M34"/>
    <mergeCell ref="K35:R35"/>
    <mergeCell ref="D1:G1"/>
    <mergeCell ref="J1:J2"/>
    <mergeCell ref="K1:K2"/>
    <mergeCell ref="L1:L2"/>
    <mergeCell ref="M1:Q2"/>
    <mergeCell ref="H2:I2"/>
    <mergeCell ref="B3:Q3"/>
    <mergeCell ref="C7:J7"/>
    <mergeCell ref="K7:R7"/>
    <mergeCell ref="R4:R5"/>
    <mergeCell ref="P8:Q8"/>
    <mergeCell ref="P9:Q9"/>
    <mergeCell ref="P10:Q10"/>
    <mergeCell ref="R22:R27"/>
    <mergeCell ref="R29:R34"/>
    <mergeCell ref="R36:R40"/>
    <mergeCell ref="P11:Q11"/>
    <mergeCell ref="P12:Q12"/>
    <mergeCell ref="P15:Q15"/>
    <mergeCell ref="R15:R20"/>
    <mergeCell ref="P16:Q16"/>
    <mergeCell ref="P17:Q17"/>
    <mergeCell ref="P18:Q18"/>
    <mergeCell ref="L40:M40"/>
    <mergeCell ref="K41:R41"/>
    <mergeCell ref="F43:J43"/>
    <mergeCell ref="N51:Q54"/>
    <mergeCell ref="L52:M52"/>
    <mergeCell ref="L53:M53"/>
    <mergeCell ref="L54:M54"/>
    <mergeCell ref="B55:R56"/>
    <mergeCell ref="K47:L47"/>
    <mergeCell ref="M47:N47"/>
    <mergeCell ref="L49:N49"/>
    <mergeCell ref="P49:Q49"/>
    <mergeCell ref="R49:R54"/>
    <mergeCell ref="N50:O50"/>
    <mergeCell ref="P50:Q50"/>
    <mergeCell ref="N31:Q34"/>
    <mergeCell ref="N36:Q40"/>
    <mergeCell ref="H37:J37"/>
    <mergeCell ref="L37:M37"/>
    <mergeCell ref="H38:J38"/>
    <mergeCell ref="L38:M38"/>
    <mergeCell ref="L39:M39"/>
    <mergeCell ref="K43:L43"/>
    <mergeCell ref="M43:N43"/>
    <mergeCell ref="K44:L44"/>
    <mergeCell ref="M44:N44"/>
    <mergeCell ref="K45:L45"/>
    <mergeCell ref="M45:N45"/>
    <mergeCell ref="K46:L46"/>
    <mergeCell ref="M46:N46"/>
    <mergeCell ref="H39:J39"/>
    <mergeCell ref="H40:J40"/>
    <mergeCell ref="H41:J41"/>
    <mergeCell ref="H42:J42"/>
    <mergeCell ref="K42:L42"/>
    <mergeCell ref="M42:N42"/>
    <mergeCell ref="R42:R47"/>
    <mergeCell ref="K48:R48"/>
    <mergeCell ref="L50:M50"/>
    <mergeCell ref="L51:M51"/>
  </mergeCells>
  <conditionalFormatting sqref="H2">
    <cfRule type="cellIs" dxfId="0" priority="1" operator="lessThanOrEqual">
      <formula>1</formula>
    </cfRule>
  </conditionalFormatting>
  <conditionalFormatting sqref="P16:Q16 D47:E47">
    <cfRule type="cellIs" dxfId="1" priority="2" operator="between">
      <formula>60</formula>
      <formula>100</formula>
    </cfRule>
  </conditionalFormatting>
  <conditionalFormatting sqref="P16:Q16">
    <cfRule type="cellIs" dxfId="2" priority="3" operator="notBetween">
      <formula>60</formula>
      <formula>100</formula>
    </cfRule>
  </conditionalFormatting>
  <conditionalFormatting sqref="P15:Q15">
    <cfRule type="cellIs" dxfId="1" priority="4" operator="between">
      <formula>60</formula>
      <formula>100</formula>
    </cfRule>
  </conditionalFormatting>
  <conditionalFormatting sqref="P15:Q15 D47:E47">
    <cfRule type="cellIs" dxfId="3" priority="5" operator="notBetween">
      <formula>60</formula>
      <formula>100</formula>
    </cfRule>
  </conditionalFormatting>
  <conditionalFormatting sqref="P17:Q17">
    <cfRule type="cellIs" dxfId="1" priority="6" operator="between">
      <formula>1</formula>
      <formula>3</formula>
    </cfRule>
  </conditionalFormatting>
  <conditionalFormatting sqref="P17:Q17">
    <cfRule type="cellIs" dxfId="3" priority="7" operator="notBetween">
      <formula>1</formula>
      <formula>3</formula>
    </cfRule>
  </conditionalFormatting>
  <conditionalFormatting sqref="D19:E19 N23">
    <cfRule type="cellIs" dxfId="1" priority="8" operator="between">
      <formula>12</formula>
      <formula>20</formula>
    </cfRule>
  </conditionalFormatting>
  <conditionalFormatting sqref="N23">
    <cfRule type="cellIs" dxfId="3" priority="9" operator="notBetween">
      <formula>12</formula>
      <formula>20</formula>
    </cfRule>
  </conditionalFormatting>
  <conditionalFormatting sqref="N24">
    <cfRule type="cellIs" dxfId="1" priority="10" operator="between">
      <formula>21</formula>
      <formula>45</formula>
    </cfRule>
  </conditionalFormatting>
  <conditionalFormatting sqref="N24">
    <cfRule type="cellIs" dxfId="3" priority="11" operator="notBetween">
      <formula>21</formula>
      <formula>45</formula>
    </cfRule>
  </conditionalFormatting>
  <conditionalFormatting sqref="N25">
    <cfRule type="cellIs" dxfId="1" priority="12" operator="between">
      <formula>3</formula>
      <formula>10</formula>
    </cfRule>
  </conditionalFormatting>
  <conditionalFormatting sqref="N25">
    <cfRule type="cellIs" dxfId="3" priority="13" operator="notBetween">
      <formula>3</formula>
      <formula>10</formula>
    </cfRule>
  </conditionalFormatting>
  <conditionalFormatting sqref="L25:L27">
    <cfRule type="cellIs" dxfId="1" priority="14" operator="between">
      <formula>20</formula>
      <formula>35</formula>
    </cfRule>
  </conditionalFormatting>
  <conditionalFormatting sqref="L25:L27">
    <cfRule type="cellIs" dxfId="3" priority="15" operator="notBetween">
      <formula>20</formula>
      <formula>35</formula>
    </cfRule>
  </conditionalFormatting>
  <conditionalFormatting sqref="D17:E17">
    <cfRule type="cellIs" dxfId="1" priority="16" operator="between">
      <formula>60</formula>
      <formula>100</formula>
    </cfRule>
  </conditionalFormatting>
  <conditionalFormatting sqref="D17:E17">
    <cfRule type="cellIs" dxfId="8" priority="17" operator="notBetween">
      <formula>60</formula>
      <formula>90</formula>
    </cfRule>
  </conditionalFormatting>
  <conditionalFormatting sqref="D18">
    <cfRule type="cellIs" dxfId="1" priority="18" operator="between">
      <formula>60</formula>
      <formula>100</formula>
    </cfRule>
  </conditionalFormatting>
  <conditionalFormatting sqref="D18">
    <cfRule type="cellIs" dxfId="8" priority="19" operator="notBetween">
      <formula>60</formula>
      <formula>100</formula>
    </cfRule>
  </conditionalFormatting>
  <conditionalFormatting sqref="E18">
    <cfRule type="cellIs" dxfId="1" priority="20" operator="between">
      <formula>60</formula>
      <formula>100</formula>
    </cfRule>
  </conditionalFormatting>
  <conditionalFormatting sqref="E18">
    <cfRule type="cellIs" dxfId="3" priority="21" operator="notBetween">
      <formula>60</formula>
      <formula>100</formula>
    </cfRule>
  </conditionalFormatting>
  <conditionalFormatting sqref="D19:E19">
    <cfRule type="cellIs" dxfId="1" priority="22" operator="between">
      <formula>12</formula>
      <formula>20</formula>
    </cfRule>
  </conditionalFormatting>
  <conditionalFormatting sqref="D19:E19">
    <cfRule type="cellIs" dxfId="8" priority="23" operator="notBetween">
      <formula>12</formula>
      <formula>20</formula>
    </cfRule>
  </conditionalFormatting>
  <conditionalFormatting sqref="D20:E20">
    <cfRule type="cellIs" dxfId="1" priority="24" operator="between">
      <formula>35</formula>
      <formula>37.7</formula>
    </cfRule>
  </conditionalFormatting>
  <conditionalFormatting sqref="D20:E20">
    <cfRule type="cellIs" dxfId="8" priority="25" operator="notBetween">
      <formula>35</formula>
      <formula>37.7</formula>
    </cfRule>
  </conditionalFormatting>
  <conditionalFormatting sqref="D21:E21 D50:E50">
    <cfRule type="cellIs" dxfId="1" priority="26" operator="between">
      <formula>92</formula>
      <formula>100</formula>
    </cfRule>
  </conditionalFormatting>
  <conditionalFormatting sqref="D21:E21">
    <cfRule type="cellIs" dxfId="8" priority="27" operator="notBetween">
      <formula>92</formula>
      <formula>100</formula>
    </cfRule>
  </conditionalFormatting>
  <conditionalFormatting sqref="D21:E23">
    <cfRule type="cellIs" dxfId="1" priority="28" operator="between">
      <formula>80</formula>
      <formula>180</formula>
    </cfRule>
  </conditionalFormatting>
  <conditionalFormatting sqref="D21:E23">
    <cfRule type="cellIs" dxfId="8" priority="29" operator="notBetween">
      <formula>80</formula>
      <formula>180</formula>
    </cfRule>
  </conditionalFormatting>
  <conditionalFormatting sqref="J15:J16">
    <cfRule type="cellIs" dxfId="1" priority="30" operator="between">
      <formula>500</formula>
      <formula>2500</formula>
    </cfRule>
  </conditionalFormatting>
  <conditionalFormatting sqref="J15:J16">
    <cfRule type="cellIs" dxfId="3" priority="31" operator="notBetween">
      <formula>500</formula>
      <formula>2500</formula>
    </cfRule>
  </conditionalFormatting>
  <conditionalFormatting sqref="D26:E26">
    <cfRule type="cellIs" dxfId="1" priority="32" operator="between">
      <formula>7</formula>
      <formula>16</formula>
    </cfRule>
  </conditionalFormatting>
  <conditionalFormatting sqref="D26:E26">
    <cfRule type="cellIs" dxfId="3" priority="33" operator="notBetween">
      <formula>7</formula>
      <formula>16</formula>
    </cfRule>
  </conditionalFormatting>
  <conditionalFormatting sqref="D28:E28">
    <cfRule type="cellIs" dxfId="1" priority="34" operator="between">
      <formula>4000</formula>
      <formula>12000</formula>
    </cfRule>
  </conditionalFormatting>
  <conditionalFormatting sqref="D28:E28">
    <cfRule type="cellIs" dxfId="3" priority="35" operator="notBetween">
      <formula>4000</formula>
      <formula>12000</formula>
    </cfRule>
  </conditionalFormatting>
  <conditionalFormatting sqref="D29:E29">
    <cfRule type="cellIs" dxfId="1" priority="36" operator="between">
      <formula>150000</formula>
      <formula>500000</formula>
    </cfRule>
  </conditionalFormatting>
  <conditionalFormatting sqref="D29:E29">
    <cfRule type="cellIs" dxfId="3" priority="37" operator="notBetween">
      <formula>150000</formula>
      <formula>500000</formula>
    </cfRule>
  </conditionalFormatting>
  <conditionalFormatting sqref="D31:E31">
    <cfRule type="cellIs" dxfId="1" priority="38" operator="between">
      <formula>10</formula>
      <formula>45</formula>
    </cfRule>
  </conditionalFormatting>
  <conditionalFormatting sqref="D31:E31">
    <cfRule type="cellIs" dxfId="3" priority="39" operator="notBetween">
      <formula>10</formula>
      <formula>45</formula>
    </cfRule>
  </conditionalFormatting>
  <conditionalFormatting sqref="D32:E32">
    <cfRule type="cellIs" dxfId="1" priority="40" operator="between">
      <formula>0.5</formula>
      <formula>1.4</formula>
    </cfRule>
  </conditionalFormatting>
  <conditionalFormatting sqref="D32:E32">
    <cfRule type="cellIs" dxfId="3" priority="41" operator="notBetween">
      <formula>0.5</formula>
      <formula>1.4</formula>
    </cfRule>
  </conditionalFormatting>
  <conditionalFormatting sqref="D33:E33">
    <cfRule type="cellIs" dxfId="1" priority="42" operator="between">
      <formula>135</formula>
      <formula>145</formula>
    </cfRule>
  </conditionalFormatting>
  <conditionalFormatting sqref="D33:E33">
    <cfRule type="cellIs" dxfId="3" priority="43" operator="notBetween">
      <formula>135</formula>
      <formula>145</formula>
    </cfRule>
  </conditionalFormatting>
  <conditionalFormatting sqref="D34:E34">
    <cfRule type="cellIs" dxfId="1" priority="44" operator="between">
      <formula>3.5</formula>
      <formula>5.5</formula>
    </cfRule>
  </conditionalFormatting>
  <conditionalFormatting sqref="D34:E34">
    <cfRule type="cellIs" dxfId="3" priority="45" operator="notBetween">
      <formula>3.5</formula>
      <formula>5.5</formula>
    </cfRule>
  </conditionalFormatting>
  <conditionalFormatting sqref="D38:E38">
    <cfRule type="cellIs" dxfId="1" priority="46" operator="between">
      <formula>0</formula>
      <formula>0.1</formula>
    </cfRule>
  </conditionalFormatting>
  <conditionalFormatting sqref="D38:E38">
    <cfRule type="cellIs" dxfId="3" priority="47" operator="notBetween">
      <formula>0</formula>
      <formula>0.1</formula>
    </cfRule>
  </conditionalFormatting>
  <conditionalFormatting sqref="D45:E45">
    <cfRule type="cellIs" dxfId="1" priority="48" operator="between">
      <formula>7.35</formula>
      <formula>7.45</formula>
    </cfRule>
  </conditionalFormatting>
  <conditionalFormatting sqref="D45:E45">
    <cfRule type="cellIs" dxfId="3" priority="49" operator="notBetween">
      <formula>7.35</formula>
      <formula>7.45</formula>
    </cfRule>
  </conditionalFormatting>
  <conditionalFormatting sqref="D46:E46">
    <cfRule type="cellIs" dxfId="1" priority="50" operator="between">
      <formula>35</formula>
      <formula>45</formula>
    </cfRule>
  </conditionalFormatting>
  <conditionalFormatting sqref="D46:E46">
    <cfRule type="cellIs" dxfId="3" priority="51" operator="notBetween">
      <formula>35</formula>
      <formula>45</formula>
    </cfRule>
  </conditionalFormatting>
  <conditionalFormatting sqref="D47:E47">
    <cfRule type="cellIs" dxfId="1" priority="52" operator="between">
      <formula>60</formula>
      <formula>100</formula>
    </cfRule>
  </conditionalFormatting>
  <conditionalFormatting sqref="D47:E47">
    <cfRule type="cellIs" dxfId="3" priority="53" operator="notBetween">
      <formula>60</formula>
      <formula>100</formula>
    </cfRule>
  </conditionalFormatting>
  <conditionalFormatting sqref="D48:E48">
    <cfRule type="cellIs" dxfId="1" priority="54" operator="between">
      <formula>18</formula>
      <formula>30</formula>
    </cfRule>
  </conditionalFormatting>
  <conditionalFormatting sqref="D48:E48">
    <cfRule type="cellIs" dxfId="3" priority="55" operator="notBetween">
      <formula>18</formula>
      <formula>30</formula>
    </cfRule>
  </conditionalFormatting>
  <conditionalFormatting sqref="D49:E49">
    <cfRule type="cellIs" dxfId="1" priority="56" operator="between">
      <formula>-2</formula>
      <formula>2</formula>
    </cfRule>
  </conditionalFormatting>
  <conditionalFormatting sqref="D49:E49">
    <cfRule type="cellIs" dxfId="3" priority="57" operator="notBetween">
      <formula>-2</formula>
      <formula>2</formula>
    </cfRule>
  </conditionalFormatting>
  <conditionalFormatting sqref="D50:E50">
    <cfRule type="cellIs" dxfId="1" priority="58" operator="between">
      <formula>92</formula>
      <formula>100</formula>
    </cfRule>
  </conditionalFormatting>
  <conditionalFormatting sqref="D50:E50">
    <cfRule type="cellIs" dxfId="3" priority="59" operator="notBetween">
      <formula>92</formula>
      <formula>100</formula>
    </cfRule>
  </conditionalFormatting>
  <conditionalFormatting sqref="D51:E51">
    <cfRule type="cellIs" dxfId="1" priority="60" operator="between">
      <formula>400</formula>
      <formula>600</formula>
    </cfRule>
  </conditionalFormatting>
  <conditionalFormatting sqref="D51:E51">
    <cfRule type="cellIs" dxfId="3" priority="61" operator="notBetween">
      <formula>400</formula>
      <formula>600</formula>
    </cfRule>
  </conditionalFormatting>
  <conditionalFormatting sqref="B35">
    <cfRule type="cellIs" dxfId="1" priority="62" operator="between">
      <formula>0</formula>
      <formula>20</formula>
    </cfRule>
  </conditionalFormatting>
  <conditionalFormatting sqref="B35">
    <cfRule type="cellIs" dxfId="7" priority="63" operator="between">
      <formula>20</formula>
      <formula>50</formula>
    </cfRule>
  </conditionalFormatting>
  <conditionalFormatting sqref="B35">
    <cfRule type="cellIs" dxfId="8" priority="64" operator="between">
      <formula>50</formula>
      <formula>100</formula>
    </cfRule>
  </conditionalFormatting>
  <conditionalFormatting sqref="P8:Q8">
    <cfRule type="cellIs" dxfId="1" priority="65" operator="between">
      <formula>13</formula>
      <formula>15</formula>
    </cfRule>
  </conditionalFormatting>
  <conditionalFormatting sqref="P8:Q8">
    <cfRule type="cellIs" dxfId="3" priority="66" operator="notBetween">
      <formula>13</formula>
      <formula>15</formula>
    </cfRule>
  </conditionalFormatting>
  <conditionalFormatting sqref="P9:Q9">
    <cfRule type="cellIs" dxfId="1" priority="67" operator="between">
      <formula>0</formula>
      <formula>-2</formula>
    </cfRule>
  </conditionalFormatting>
  <conditionalFormatting sqref="P9:Q9">
    <cfRule type="cellIs" dxfId="3" priority="68" operator="notBetween">
      <formula>0</formula>
      <formula>-2</formula>
    </cfRule>
  </conditionalFormatting>
  <conditionalFormatting sqref="L49:N49">
    <cfRule type="notContainsBlanks" dxfId="3" priority="69">
      <formula>LEN(TRIM(L49))&gt;0</formula>
    </cfRule>
  </conditionalFormatting>
  <conditionalFormatting sqref="B33">
    <cfRule type="cellIs" dxfId="8" priority="70" operator="lessThan">
      <formula>40</formula>
    </cfRule>
  </conditionalFormatting>
  <conditionalFormatting sqref="B33">
    <cfRule type="cellIs" dxfId="9" priority="71" operator="between">
      <formula>40</formula>
      <formula>60</formula>
    </cfRule>
  </conditionalFormatting>
  <conditionalFormatting sqref="B33">
    <cfRule type="cellIs" dxfId="1" priority="72" operator="greaterThan">
      <formula>60</formula>
    </cfRule>
  </conditionalFormatting>
  <conditionalFormatting sqref="K1:K2">
    <cfRule type="notContainsBlanks" dxfId="8" priority="73">
      <formula>LEN(TRIM(K1))&gt;0</formula>
    </cfRule>
  </conditionalFormatting>
  <dataValidations>
    <dataValidation type="list" allowBlank="1" showErrorMessage="1" sqref="K9">
      <formula1>"MIDAZOLAM 2X,MIDAZOLAM 5X,FENTANIL 2X, FENTANIL 5X,TRIDIL 1X,DOBUTA 4X,PROPOFOL 5X,CETAMINA 2X,PRECEDEX 2X,ROCURONIO 5X"</formula1>
    </dataValidation>
    <dataValidation type="list" allowBlank="1" showErrorMessage="1" sqref="P20 L37 L39">
      <formula1>"SIM,NÃO"</formula1>
    </dataValidation>
    <dataValidation type="list" allowBlank="1" showErrorMessage="1" sqref="P49">
      <formula1>"N/A,I,II,III,IV,INCLASSIFICÁVEL"</formula1>
    </dataValidation>
    <dataValidation type="list" allowBlank="1" showErrorMessage="1" sqref="L22">
      <formula1>"TOT,TQT,VNI,CNO2,MNR,VENTURI,AA"</formula1>
    </dataValidation>
    <dataValidation type="list" allowBlank="1" showErrorMessage="1" sqref="L23">
      <formula1>"1ºdia,2ºdia,3ºdia,4ºdia,5ºdia"</formula1>
    </dataValidation>
    <dataValidation type="list" allowBlank="1" showErrorMessage="1" sqref="K16:K20">
      <formula1>"NORADRENALINA 4X,NORADRENALINA 8X,VASOPRESSINA 2X,NIPRID 1X, TRIDIL 1X,DOBUTAMINA 4X,DOPAMINA 5X,NIPRIDE X2,NORA X16,AMIODARONA X6"</formula1>
    </dataValidation>
    <dataValidation type="list" allowBlank="1" showErrorMessage="1" sqref="L29">
      <formula1>"JEJUM,GERAL,BRANDA,PASTOSA,LEVE,LÍQUIDA C/ RESÍDUO,ÁGUA, CHÁ GELATINA,DIBEN,HP ENERGI,ENERGI,DIAMAX"</formula1>
    </dataValidation>
    <dataValidation type="list" allowBlank="1" showErrorMessage="1" sqref="K10:K13">
      <formula1>"MIDAZOLAM,FENTANIL,PROPOFOL,CETAMINA,PRECEDEX,ROCURONIO"</formula1>
    </dataValidation>
    <dataValidation type="list" allowBlank="1" showErrorMessage="1" sqref="P11:P13 P18:P19 L31:L34 L36">
      <formula1>"SIM,NÃO,N/A"</formula1>
    </dataValidation>
    <dataValidation type="list" allowBlank="1" showErrorMessage="1" sqref="M42:M43 M45">
      <formula1>"SIM,NÃO,N/A"</formula1>
    </dataValidation>
    <dataValidation type="list" allowBlank="1" showErrorMessage="1" sqref="O29">
      <formula1>"N/A,ORAL,SNE,GTT,PARENTERAL"</formula1>
    </dataValidation>
    <dataValidation type="list" allowBlank="1" showErrorMessage="1" sqref="M47">
      <formula1>"SANGRAMENTO,AGUARDA CC,QUEDA HB,PLAQUETOPENIA"</formula1>
    </dataValidation>
    <dataValidation type="list" allowBlank="1" showErrorMessage="1" sqref="M44 M46 L51:L53">
      <formula1>"SIM,NÃO,N/A"</formula1>
    </dataValidation>
  </dataValidations>
  <printOptions gridLines="1" horizontalCentered="1"/>
  <pageMargins bottom="0.14871749934278886" footer="0.0" header="0.0" left="0.18589687417848605" right="0.18589687417848605" top="0.18589687417848605"/>
  <pageSetup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9.88"/>
    <col customWidth="1" min="3" max="3" width="10.38"/>
    <col customWidth="1" min="4" max="5" width="8.63"/>
    <col customWidth="1" min="6" max="7" width="8.38"/>
    <col customWidth="1" min="8" max="8" width="9.13"/>
    <col customWidth="1" min="9" max="9" width="9.5"/>
    <col customWidth="1" min="10" max="10" width="9.38"/>
    <col customWidth="1" min="11" max="11" width="19.5"/>
    <col customWidth="1" min="12" max="12" width="10.5"/>
    <col customWidth="1" min="13" max="14" width="7.0"/>
    <col customWidth="1" min="15" max="15" width="13.13"/>
    <col customWidth="1" min="16" max="16" width="6.0"/>
    <col customWidth="1" min="17" max="17" width="9.25"/>
    <col customWidth="1" min="18" max="18" width="25.63"/>
  </cols>
  <sheetData>
    <row r="1" ht="16.5" customHeight="1">
      <c r="A1" s="43" t="s">
        <v>24</v>
      </c>
      <c r="B1" s="328"/>
      <c r="C1" s="45" t="s">
        <v>25</v>
      </c>
      <c r="D1" s="329"/>
      <c r="E1" s="47"/>
      <c r="F1" s="47"/>
      <c r="G1" s="48"/>
      <c r="H1" s="49" t="s">
        <v>4</v>
      </c>
      <c r="I1" s="330"/>
      <c r="J1" s="345" t="s">
        <v>388</v>
      </c>
      <c r="K1" s="346"/>
      <c r="L1" s="53" t="s">
        <v>28</v>
      </c>
      <c r="M1" s="347"/>
      <c r="N1" s="55"/>
      <c r="O1" s="55"/>
      <c r="P1" s="55"/>
      <c r="Q1" s="56"/>
      <c r="R1" s="57" t="s">
        <v>30</v>
      </c>
    </row>
    <row r="2" ht="27.75" customHeight="1">
      <c r="A2" s="58" t="s">
        <v>31</v>
      </c>
      <c r="B2" s="332"/>
      <c r="C2" s="60" t="s">
        <v>32</v>
      </c>
      <c r="D2" s="290">
        <v>46003.0</v>
      </c>
      <c r="E2" s="62" t="s">
        <v>33</v>
      </c>
      <c r="F2" s="348"/>
      <c r="G2" s="64" t="s">
        <v>34</v>
      </c>
      <c r="H2" s="349"/>
      <c r="I2" s="66"/>
      <c r="J2" s="67"/>
      <c r="K2" s="67"/>
      <c r="L2" s="67"/>
      <c r="M2" s="68"/>
      <c r="N2" s="69"/>
      <c r="O2" s="69"/>
      <c r="P2" s="69"/>
      <c r="Q2" s="70"/>
      <c r="R2" s="71">
        <v>5.0</v>
      </c>
    </row>
    <row r="3" ht="36.0" customHeight="1">
      <c r="A3" s="72" t="s">
        <v>35</v>
      </c>
      <c r="B3" s="33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66"/>
      <c r="R3" s="75" t="s">
        <v>37</v>
      </c>
    </row>
    <row r="4" ht="30.75" customHeight="1">
      <c r="A4" s="72" t="s">
        <v>38</v>
      </c>
      <c r="B4" s="33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66"/>
      <c r="R4" s="76">
        <f>TODAY()</f>
        <v>46009</v>
      </c>
    </row>
    <row r="5" ht="12.75" customHeight="1">
      <c r="A5" s="77" t="s">
        <v>40</v>
      </c>
      <c r="B5" s="335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80"/>
      <c r="R5" s="81"/>
    </row>
    <row r="6" ht="12.75" customHeight="1">
      <c r="A6" s="82" t="s">
        <v>42</v>
      </c>
      <c r="B6" s="83"/>
      <c r="C6" s="82" t="s">
        <v>43</v>
      </c>
      <c r="D6" s="84"/>
      <c r="E6" s="84"/>
      <c r="F6" s="84"/>
      <c r="G6" s="84"/>
      <c r="H6" s="84"/>
      <c r="I6" s="84"/>
      <c r="J6" s="83"/>
      <c r="K6" s="85" t="s">
        <v>44</v>
      </c>
      <c r="L6" s="55"/>
      <c r="M6" s="55"/>
      <c r="N6" s="55"/>
      <c r="O6" s="55"/>
      <c r="P6" s="55"/>
      <c r="Q6" s="56"/>
      <c r="R6" s="86" t="s">
        <v>45</v>
      </c>
    </row>
    <row r="7" ht="12.75" customHeight="1">
      <c r="A7" s="87" t="s">
        <v>46</v>
      </c>
      <c r="B7" s="88"/>
      <c r="C7" s="89" t="s">
        <v>47</v>
      </c>
      <c r="D7" s="69"/>
      <c r="E7" s="69"/>
      <c r="F7" s="69"/>
      <c r="G7" s="69"/>
      <c r="H7" s="69"/>
      <c r="I7" s="69"/>
      <c r="J7" s="90"/>
      <c r="K7" s="91" t="s">
        <v>48</v>
      </c>
      <c r="L7" s="92"/>
      <c r="M7" s="92"/>
      <c r="N7" s="92"/>
      <c r="O7" s="92"/>
      <c r="P7" s="92"/>
      <c r="Q7" s="92"/>
      <c r="R7" s="93"/>
    </row>
    <row r="8" ht="12.75" customHeight="1">
      <c r="A8" s="94"/>
      <c r="B8" s="90"/>
      <c r="C8" s="95"/>
      <c r="D8" s="79"/>
      <c r="E8" s="79"/>
      <c r="F8" s="79"/>
      <c r="G8" s="79"/>
      <c r="H8" s="79"/>
      <c r="I8" s="79"/>
      <c r="J8" s="96"/>
      <c r="K8" s="97" t="s">
        <v>50</v>
      </c>
      <c r="L8" s="98" t="s">
        <v>51</v>
      </c>
      <c r="M8" s="98" t="s">
        <v>52</v>
      </c>
      <c r="N8" s="99" t="s">
        <v>53</v>
      </c>
      <c r="O8" s="100" t="s">
        <v>54</v>
      </c>
      <c r="P8" s="101"/>
      <c r="Q8" s="70"/>
      <c r="R8" s="102"/>
    </row>
    <row r="9" ht="12.75" customHeight="1">
      <c r="A9" s="103"/>
      <c r="B9" s="96"/>
      <c r="J9" s="88"/>
      <c r="K9" s="104"/>
      <c r="L9" s="105"/>
      <c r="M9" s="105"/>
      <c r="N9" s="113"/>
      <c r="O9" s="108" t="s">
        <v>58</v>
      </c>
      <c r="P9" s="109"/>
      <c r="Q9" s="66"/>
      <c r="R9" s="110"/>
    </row>
    <row r="10" ht="12.75" customHeight="1">
      <c r="A10" s="111"/>
      <c r="B10" s="88"/>
      <c r="J10" s="88"/>
      <c r="K10" s="104"/>
      <c r="L10" s="112"/>
      <c r="M10" s="112"/>
      <c r="N10" s="113"/>
      <c r="O10" s="108" t="s">
        <v>59</v>
      </c>
      <c r="P10" s="109"/>
      <c r="Q10" s="66"/>
      <c r="R10" s="110"/>
    </row>
    <row r="11">
      <c r="A11" s="111"/>
      <c r="B11" s="88"/>
      <c r="J11" s="88"/>
      <c r="K11" s="104"/>
      <c r="L11" s="112"/>
      <c r="M11" s="112"/>
      <c r="N11" s="114"/>
      <c r="O11" s="115" t="s">
        <v>61</v>
      </c>
      <c r="P11" s="116"/>
      <c r="Q11" s="66"/>
      <c r="R11" s="110"/>
    </row>
    <row r="12">
      <c r="A12" s="111"/>
      <c r="B12" s="88"/>
      <c r="J12" s="88"/>
      <c r="K12" s="104"/>
      <c r="L12" s="112"/>
      <c r="M12" s="112"/>
      <c r="N12" s="113"/>
      <c r="O12" s="108" t="s">
        <v>63</v>
      </c>
      <c r="P12" s="116"/>
      <c r="Q12" s="66"/>
      <c r="R12" s="110"/>
    </row>
    <row r="13">
      <c r="A13" s="111"/>
      <c r="B13" s="88"/>
      <c r="C13" s="69"/>
      <c r="D13" s="69"/>
      <c r="E13" s="69"/>
      <c r="F13" s="69"/>
      <c r="G13" s="69"/>
      <c r="H13" s="69"/>
      <c r="I13" s="69"/>
      <c r="J13" s="90"/>
      <c r="K13" s="117"/>
      <c r="L13" s="118"/>
      <c r="M13" s="118"/>
      <c r="N13" s="119"/>
      <c r="O13" s="120" t="s">
        <v>64</v>
      </c>
      <c r="P13" s="121"/>
      <c r="Q13" s="80"/>
      <c r="R13" s="81"/>
    </row>
    <row r="14" ht="12.75" customHeight="1">
      <c r="A14" s="122" t="s">
        <v>66</v>
      </c>
      <c r="B14" s="123"/>
      <c r="C14" s="124" t="s">
        <v>67</v>
      </c>
      <c r="D14" s="47"/>
      <c r="E14" s="123"/>
      <c r="F14" s="124" t="s">
        <v>68</v>
      </c>
      <c r="G14" s="47"/>
      <c r="H14" s="123"/>
      <c r="I14" s="124" t="s">
        <v>69</v>
      </c>
      <c r="J14" s="123"/>
      <c r="K14" s="91" t="s">
        <v>70</v>
      </c>
      <c r="L14" s="92"/>
      <c r="M14" s="92"/>
      <c r="N14" s="92"/>
      <c r="O14" s="92"/>
      <c r="P14" s="92"/>
      <c r="Q14" s="92"/>
      <c r="R14" s="93"/>
    </row>
    <row r="15" ht="12.75" customHeight="1">
      <c r="A15" s="125" t="s">
        <v>71</v>
      </c>
      <c r="B15" s="126"/>
      <c r="C15" s="127" t="s">
        <v>72</v>
      </c>
      <c r="E15" s="128"/>
      <c r="F15" s="129" t="s">
        <v>37</v>
      </c>
      <c r="G15" s="130" t="s">
        <v>73</v>
      </c>
      <c r="H15" s="131" t="s">
        <v>74</v>
      </c>
      <c r="I15" s="132" t="s">
        <v>75</v>
      </c>
      <c r="J15" s="144"/>
      <c r="K15" s="97" t="s">
        <v>76</v>
      </c>
      <c r="L15" s="98" t="s">
        <v>51</v>
      </c>
      <c r="M15" s="98" t="s">
        <v>52</v>
      </c>
      <c r="N15" s="99" t="s">
        <v>53</v>
      </c>
      <c r="O15" s="134" t="s">
        <v>389</v>
      </c>
      <c r="P15" s="101"/>
      <c r="Q15" s="70"/>
      <c r="R15" s="102"/>
    </row>
    <row r="16" ht="12.75" customHeight="1">
      <c r="A16" s="135" t="s">
        <v>79</v>
      </c>
      <c r="B16" s="136" t="b">
        <v>0</v>
      </c>
      <c r="C16" s="137"/>
      <c r="D16" s="138" t="s">
        <v>80</v>
      </c>
      <c r="E16" s="138" t="s">
        <v>81</v>
      </c>
      <c r="F16" s="139"/>
      <c r="G16" s="112"/>
      <c r="H16" s="140"/>
      <c r="I16" s="141"/>
      <c r="J16" s="142"/>
      <c r="K16" s="104"/>
      <c r="L16" s="105"/>
      <c r="M16" s="105"/>
      <c r="N16" s="113"/>
      <c r="O16" s="108" t="s">
        <v>83</v>
      </c>
      <c r="P16" s="109"/>
      <c r="Q16" s="66"/>
      <c r="R16" s="110"/>
    </row>
    <row r="17" ht="12.75" customHeight="1">
      <c r="A17" s="135" t="s">
        <v>84</v>
      </c>
      <c r="B17" s="136" t="b">
        <v>0</v>
      </c>
      <c r="C17" s="139" t="s">
        <v>85</v>
      </c>
      <c r="D17" s="143"/>
      <c r="E17" s="140"/>
      <c r="F17" s="139"/>
      <c r="G17" s="112"/>
      <c r="H17" s="140"/>
      <c r="I17" s="132" t="s">
        <v>86</v>
      </c>
      <c r="J17" s="144"/>
      <c r="K17" s="104"/>
      <c r="L17" s="105"/>
      <c r="M17" s="112"/>
      <c r="N17" s="113"/>
      <c r="O17" s="108" t="s">
        <v>89</v>
      </c>
      <c r="P17" s="109"/>
      <c r="Q17" s="66"/>
      <c r="R17" s="110"/>
    </row>
    <row r="18" ht="12.75" customHeight="1">
      <c r="A18" s="146" t="s">
        <v>90</v>
      </c>
      <c r="B18" s="147" t="b">
        <v>0</v>
      </c>
      <c r="C18" s="139" t="s">
        <v>83</v>
      </c>
      <c r="D18" s="112"/>
      <c r="E18" s="140"/>
      <c r="F18" s="139"/>
      <c r="G18" s="112"/>
      <c r="H18" s="140"/>
      <c r="I18" s="141"/>
      <c r="J18" s="142"/>
      <c r="K18" s="104"/>
      <c r="L18" s="105"/>
      <c r="M18" s="112"/>
      <c r="N18" s="148"/>
      <c r="O18" s="149" t="s">
        <v>91</v>
      </c>
      <c r="P18" s="116"/>
      <c r="Q18" s="66"/>
      <c r="R18" s="110"/>
    </row>
    <row r="19" ht="12.75" customHeight="1">
      <c r="A19" s="122" t="s">
        <v>93</v>
      </c>
      <c r="B19" s="123"/>
      <c r="C19" s="139" t="s">
        <v>94</v>
      </c>
      <c r="D19" s="112"/>
      <c r="E19" s="140"/>
      <c r="F19" s="139"/>
      <c r="G19" s="112"/>
      <c r="H19" s="140"/>
      <c r="I19" s="132" t="s">
        <v>95</v>
      </c>
      <c r="J19" s="150"/>
      <c r="K19" s="104"/>
      <c r="L19" s="105"/>
      <c r="M19" s="112"/>
      <c r="N19" s="148"/>
      <c r="O19" s="149" t="s">
        <v>96</v>
      </c>
      <c r="P19" s="116"/>
      <c r="Q19" s="66"/>
      <c r="R19" s="110"/>
    </row>
    <row r="20" ht="12.75" customHeight="1">
      <c r="A20" s="135" t="s">
        <v>97</v>
      </c>
      <c r="B20" s="136" t="b">
        <v>0</v>
      </c>
      <c r="C20" s="139" t="s">
        <v>98</v>
      </c>
      <c r="D20" s="151"/>
      <c r="E20" s="140"/>
      <c r="F20" s="152" t="s">
        <v>99</v>
      </c>
      <c r="G20" s="74"/>
      <c r="H20" s="126"/>
      <c r="I20" s="141"/>
      <c r="J20" s="142"/>
      <c r="K20" s="117"/>
      <c r="L20" s="153"/>
      <c r="M20" s="118"/>
      <c r="N20" s="119"/>
      <c r="O20" s="120" t="s">
        <v>100</v>
      </c>
      <c r="P20" s="121"/>
      <c r="Q20" s="80"/>
      <c r="R20" s="81"/>
    </row>
    <row r="21" ht="12.75" customHeight="1">
      <c r="A21" s="135" t="s">
        <v>101</v>
      </c>
      <c r="B21" s="136" t="b">
        <v>0</v>
      </c>
      <c r="C21" s="139" t="s">
        <v>102</v>
      </c>
      <c r="D21" s="112"/>
      <c r="E21" s="140"/>
      <c r="F21" s="154"/>
      <c r="G21" s="66"/>
      <c r="H21" s="140"/>
      <c r="I21" s="152" t="s">
        <v>104</v>
      </c>
      <c r="J21" s="126"/>
      <c r="K21" s="91" t="s">
        <v>105</v>
      </c>
      <c r="L21" s="92"/>
      <c r="M21" s="92"/>
      <c r="N21" s="92"/>
      <c r="O21" s="92"/>
      <c r="P21" s="92"/>
      <c r="Q21" s="92"/>
      <c r="R21" s="93"/>
    </row>
    <row r="22" ht="12.75" customHeight="1">
      <c r="A22" s="146" t="s">
        <v>106</v>
      </c>
      <c r="B22" s="147" t="b">
        <v>0</v>
      </c>
      <c r="C22" s="139" t="s">
        <v>107</v>
      </c>
      <c r="D22" s="112"/>
      <c r="E22" s="140"/>
      <c r="F22" s="154"/>
      <c r="G22" s="66"/>
      <c r="H22" s="140"/>
      <c r="I22" s="218"/>
      <c r="J22" s="96"/>
      <c r="K22" s="301" t="s">
        <v>108</v>
      </c>
      <c r="L22" s="350"/>
      <c r="M22" s="303" t="s">
        <v>110</v>
      </c>
      <c r="N22" s="304"/>
      <c r="O22" s="160" t="s">
        <v>111</v>
      </c>
      <c r="P22" s="157"/>
      <c r="Q22" s="161" t="s">
        <v>112</v>
      </c>
      <c r="R22" s="102"/>
    </row>
    <row r="23" ht="12.75" customHeight="1">
      <c r="A23" s="122" t="s">
        <v>114</v>
      </c>
      <c r="B23" s="123"/>
      <c r="C23" s="139" t="s">
        <v>107</v>
      </c>
      <c r="D23" s="162"/>
      <c r="E23" s="163"/>
      <c r="F23" s="164"/>
      <c r="G23" s="165"/>
      <c r="H23" s="163"/>
      <c r="I23" s="166"/>
      <c r="J23" s="167"/>
      <c r="K23" s="168" t="s">
        <v>115</v>
      </c>
      <c r="L23" s="169"/>
      <c r="M23" s="170" t="s">
        <v>94</v>
      </c>
      <c r="N23" s="169"/>
      <c r="O23" s="170" t="s">
        <v>116</v>
      </c>
      <c r="P23" s="169"/>
      <c r="Q23" s="171" t="s">
        <v>390</v>
      </c>
      <c r="R23" s="110"/>
    </row>
    <row r="24" ht="12.75" customHeight="1">
      <c r="A24" s="103"/>
      <c r="B24" s="351"/>
      <c r="C24" s="122" t="s">
        <v>118</v>
      </c>
      <c r="D24" s="47"/>
      <c r="E24" s="123"/>
      <c r="F24" s="172" t="s">
        <v>119</v>
      </c>
      <c r="G24" s="47"/>
      <c r="H24" s="47"/>
      <c r="I24" s="47"/>
      <c r="J24" s="123"/>
      <c r="K24" s="168" t="s">
        <v>120</v>
      </c>
      <c r="L24" s="169"/>
      <c r="M24" s="170" t="s">
        <v>121</v>
      </c>
      <c r="N24" s="169"/>
      <c r="O24" s="170" t="s">
        <v>122</v>
      </c>
      <c r="P24" s="169"/>
      <c r="Q24" s="173" t="s">
        <v>123</v>
      </c>
      <c r="R24" s="110"/>
    </row>
    <row r="25" ht="12.75" customHeight="1">
      <c r="A25" s="87"/>
      <c r="B25" s="352"/>
      <c r="C25" s="174"/>
      <c r="D25" s="175" t="s">
        <v>124</v>
      </c>
      <c r="E25" s="176" t="s">
        <v>125</v>
      </c>
      <c r="F25" s="177" t="s">
        <v>37</v>
      </c>
      <c r="G25" s="178" t="s">
        <v>126</v>
      </c>
      <c r="H25" s="179" t="s">
        <v>127</v>
      </c>
      <c r="I25" s="74"/>
      <c r="J25" s="126"/>
      <c r="K25" s="168" t="s">
        <v>128</v>
      </c>
      <c r="L25" s="169"/>
      <c r="M25" s="170" t="s">
        <v>129</v>
      </c>
      <c r="N25" s="169"/>
      <c r="O25" s="170" t="s">
        <v>130</v>
      </c>
      <c r="P25" s="169"/>
      <c r="Q25" s="171"/>
      <c r="R25" s="110"/>
    </row>
    <row r="26" ht="12.75" customHeight="1">
      <c r="A26" s="87"/>
      <c r="B26" s="352"/>
      <c r="C26" s="135" t="s">
        <v>132</v>
      </c>
      <c r="D26" s="225"/>
      <c r="E26" s="136"/>
      <c r="F26" s="185"/>
      <c r="G26" s="186"/>
      <c r="H26" s="187"/>
      <c r="I26" s="74"/>
      <c r="J26" s="126"/>
      <c r="K26" s="168" t="s">
        <v>135</v>
      </c>
      <c r="L26" s="184"/>
      <c r="M26" s="170" t="s">
        <v>136</v>
      </c>
      <c r="N26" s="169"/>
      <c r="O26" s="170" t="s">
        <v>137</v>
      </c>
      <c r="P26" s="169"/>
      <c r="Q26" s="173" t="s">
        <v>138</v>
      </c>
      <c r="R26" s="110"/>
    </row>
    <row r="27" ht="17.25" customHeight="1">
      <c r="A27" s="87"/>
      <c r="B27" s="352"/>
      <c r="C27" s="135" t="s">
        <v>139</v>
      </c>
      <c r="D27" s="225"/>
      <c r="E27" s="136"/>
      <c r="F27" s="185"/>
      <c r="G27" s="186"/>
      <c r="H27" s="187"/>
      <c r="I27" s="74"/>
      <c r="J27" s="126"/>
      <c r="K27" s="188" t="s">
        <v>140</v>
      </c>
      <c r="L27" s="189"/>
      <c r="M27" s="190" t="s">
        <v>141</v>
      </c>
      <c r="N27" s="189"/>
      <c r="O27" s="190" t="s">
        <v>142</v>
      </c>
      <c r="P27" s="189"/>
      <c r="Q27" s="180"/>
      <c r="R27" s="81"/>
    </row>
    <row r="28" ht="12.75" customHeight="1">
      <c r="A28" s="353"/>
      <c r="B28" s="354"/>
      <c r="C28" s="135" t="s">
        <v>143</v>
      </c>
      <c r="D28" s="225"/>
      <c r="E28" s="191"/>
      <c r="F28" s="185"/>
      <c r="G28" s="186"/>
      <c r="H28" s="187"/>
      <c r="I28" s="74"/>
      <c r="J28" s="126"/>
      <c r="K28" s="355" t="s">
        <v>144</v>
      </c>
      <c r="L28" s="55"/>
      <c r="M28" s="55"/>
      <c r="N28" s="55"/>
      <c r="O28" s="55"/>
      <c r="P28" s="55"/>
      <c r="Q28" s="55"/>
      <c r="R28" s="356"/>
    </row>
    <row r="29" ht="12.75" customHeight="1">
      <c r="A29" s="124" t="s">
        <v>145</v>
      </c>
      <c r="B29" s="123"/>
      <c r="C29" s="135" t="s">
        <v>146</v>
      </c>
      <c r="D29" s="219"/>
      <c r="E29" s="191"/>
      <c r="F29" s="185"/>
      <c r="G29" s="186"/>
      <c r="H29" s="187"/>
      <c r="I29" s="74"/>
      <c r="J29" s="126"/>
      <c r="K29" s="357" t="s">
        <v>5</v>
      </c>
      <c r="L29" s="358"/>
      <c r="M29" s="359"/>
      <c r="N29" s="360" t="s">
        <v>148</v>
      </c>
      <c r="O29" s="361"/>
      <c r="P29" s="362" t="s">
        <v>158</v>
      </c>
      <c r="Q29" s="363"/>
      <c r="R29" s="364"/>
    </row>
    <row r="30" ht="12.75" customHeight="1">
      <c r="A30" s="139" t="s">
        <v>151</v>
      </c>
      <c r="B30" s="140"/>
      <c r="C30" s="135" t="s">
        <v>153</v>
      </c>
      <c r="D30" s="225"/>
      <c r="E30" s="136"/>
      <c r="F30" s="185"/>
      <c r="G30" s="186"/>
      <c r="H30" s="187"/>
      <c r="I30" s="74"/>
      <c r="J30" s="126"/>
      <c r="K30" s="365" t="s">
        <v>154</v>
      </c>
      <c r="L30" s="366"/>
      <c r="M30" s="367" t="s">
        <v>156</v>
      </c>
      <c r="N30" s="368"/>
      <c r="O30" s="369"/>
      <c r="P30" s="370" t="s">
        <v>149</v>
      </c>
      <c r="Q30" s="371"/>
      <c r="R30" s="88"/>
    </row>
    <row r="31" ht="12.75" customHeight="1">
      <c r="A31" s="139" t="s">
        <v>160</v>
      </c>
      <c r="B31" s="140"/>
      <c r="C31" s="135" t="s">
        <v>162</v>
      </c>
      <c r="D31" s="225"/>
      <c r="E31" s="136"/>
      <c r="F31" s="139"/>
      <c r="G31" s="112"/>
      <c r="H31" s="187"/>
      <c r="I31" s="74"/>
      <c r="J31" s="126"/>
      <c r="K31" s="372" t="s">
        <v>163</v>
      </c>
      <c r="L31" s="373"/>
      <c r="M31" s="368"/>
      <c r="N31" s="374"/>
      <c r="O31" s="368"/>
      <c r="P31" s="375" t="s">
        <v>391</v>
      </c>
      <c r="Q31" s="376"/>
      <c r="R31" s="88"/>
    </row>
    <row r="32" ht="12.75" customHeight="1">
      <c r="A32" s="139" t="s">
        <v>165</v>
      </c>
      <c r="B32" s="140"/>
      <c r="C32" s="135" t="s">
        <v>167</v>
      </c>
      <c r="D32" s="219"/>
      <c r="E32" s="136"/>
      <c r="F32" s="139"/>
      <c r="G32" s="112"/>
      <c r="H32" s="187"/>
      <c r="I32" s="74"/>
      <c r="J32" s="126"/>
      <c r="K32" s="377" t="s">
        <v>168</v>
      </c>
      <c r="L32" s="378"/>
      <c r="M32" s="368"/>
      <c r="N32" s="379" t="s">
        <v>332</v>
      </c>
      <c r="O32" s="380"/>
      <c r="P32" s="380"/>
      <c r="Q32" s="381"/>
      <c r="R32" s="88"/>
    </row>
    <row r="33" ht="12.75" customHeight="1">
      <c r="A33" s="135" t="s">
        <v>169</v>
      </c>
      <c r="B33" s="136"/>
      <c r="C33" s="135" t="s">
        <v>170</v>
      </c>
      <c r="D33" s="219"/>
      <c r="E33" s="136"/>
      <c r="F33" s="139"/>
      <c r="G33" s="112"/>
      <c r="H33" s="187"/>
      <c r="I33" s="74"/>
      <c r="J33" s="126"/>
      <c r="K33" s="377" t="s">
        <v>171</v>
      </c>
      <c r="L33" s="378"/>
      <c r="M33" s="368"/>
      <c r="N33" s="382"/>
      <c r="Q33" s="383"/>
      <c r="R33" s="88"/>
    </row>
    <row r="34" ht="12.75" customHeight="1">
      <c r="A34" s="174" t="s">
        <v>172</v>
      </c>
      <c r="B34" s="136"/>
      <c r="C34" s="135" t="s">
        <v>173</v>
      </c>
      <c r="D34" s="219"/>
      <c r="E34" s="136"/>
      <c r="F34" s="207"/>
      <c r="G34" s="162"/>
      <c r="H34" s="208"/>
      <c r="I34" s="209"/>
      <c r="J34" s="210"/>
      <c r="K34" s="384" t="s">
        <v>174</v>
      </c>
      <c r="L34" s="385"/>
      <c r="M34" s="386"/>
      <c r="N34" s="387"/>
      <c r="O34" s="288"/>
      <c r="P34" s="288"/>
      <c r="Q34" s="289"/>
      <c r="R34" s="167"/>
    </row>
    <row r="35" ht="12.75" customHeight="1">
      <c r="A35" s="212" t="s">
        <v>175</v>
      </c>
      <c r="B35" s="147"/>
      <c r="C35" s="135" t="s">
        <v>176</v>
      </c>
      <c r="D35" s="225"/>
      <c r="E35" s="136"/>
      <c r="F35" s="124" t="s">
        <v>177</v>
      </c>
      <c r="G35" s="47"/>
      <c r="H35" s="47"/>
      <c r="I35" s="47"/>
      <c r="J35" s="123"/>
      <c r="K35" s="388" t="s">
        <v>178</v>
      </c>
      <c r="L35" s="281"/>
      <c r="M35" s="281"/>
      <c r="N35" s="281"/>
      <c r="O35" s="281"/>
      <c r="P35" s="281"/>
      <c r="Q35" s="281"/>
      <c r="R35" s="167"/>
    </row>
    <row r="36" ht="18.75" customHeight="1">
      <c r="A36" s="213" t="s">
        <v>179</v>
      </c>
      <c r="B36" s="123"/>
      <c r="C36" s="135" t="s">
        <v>180</v>
      </c>
      <c r="D36" s="219"/>
      <c r="E36" s="136"/>
      <c r="F36" s="129" t="s">
        <v>37</v>
      </c>
      <c r="G36" s="130" t="s">
        <v>126</v>
      </c>
      <c r="H36" s="214" t="s">
        <v>127</v>
      </c>
      <c r="I36" s="74"/>
      <c r="J36" s="126"/>
      <c r="K36" s="215" t="s">
        <v>181</v>
      </c>
      <c r="L36" s="216"/>
      <c r="M36" s="70"/>
      <c r="N36" s="217" t="s">
        <v>182</v>
      </c>
      <c r="Q36" s="206"/>
      <c r="R36" s="102"/>
    </row>
    <row r="37" ht="12.75" customHeight="1">
      <c r="A37" s="218" t="s">
        <v>360</v>
      </c>
      <c r="B37" s="96"/>
      <c r="C37" s="135" t="s">
        <v>185</v>
      </c>
      <c r="D37" s="219"/>
      <c r="E37" s="220"/>
      <c r="F37" s="139"/>
      <c r="G37" s="112"/>
      <c r="H37" s="116"/>
      <c r="I37" s="74"/>
      <c r="J37" s="126"/>
      <c r="K37" s="204" t="s">
        <v>188</v>
      </c>
      <c r="L37" s="116"/>
      <c r="M37" s="66"/>
      <c r="N37" s="205"/>
      <c r="Q37" s="206"/>
      <c r="R37" s="110"/>
    </row>
    <row r="38" ht="12.75" customHeight="1">
      <c r="A38" s="111"/>
      <c r="B38" s="88"/>
      <c r="C38" s="135" t="s">
        <v>189</v>
      </c>
      <c r="D38" s="219"/>
      <c r="E38" s="220"/>
      <c r="F38" s="139"/>
      <c r="G38" s="112"/>
      <c r="H38" s="116"/>
      <c r="I38" s="74"/>
      <c r="J38" s="126"/>
      <c r="K38" s="223" t="s">
        <v>190</v>
      </c>
      <c r="L38" s="116" t="str">
        <f>(J15/Q30)/E15</f>
        <v>#DIV/0!</v>
      </c>
      <c r="M38" s="66"/>
      <c r="N38" s="205"/>
      <c r="Q38" s="206"/>
      <c r="R38" s="110"/>
    </row>
    <row r="39" ht="12.75" customHeight="1">
      <c r="A39" s="111"/>
      <c r="B39" s="88"/>
      <c r="C39" s="135" t="s">
        <v>191</v>
      </c>
      <c r="D39" s="219"/>
      <c r="E39" s="220"/>
      <c r="F39" s="139"/>
      <c r="G39" s="112"/>
      <c r="H39" s="116"/>
      <c r="I39" s="74"/>
      <c r="J39" s="126"/>
      <c r="K39" s="204" t="s">
        <v>192</v>
      </c>
      <c r="L39" s="116"/>
      <c r="M39" s="66"/>
      <c r="N39" s="205"/>
      <c r="Q39" s="206"/>
      <c r="R39" s="110"/>
    </row>
    <row r="40" ht="12.75" customHeight="1">
      <c r="A40" s="111"/>
      <c r="B40" s="88"/>
      <c r="C40" s="135" t="s">
        <v>193</v>
      </c>
      <c r="D40" s="219"/>
      <c r="E40" s="220"/>
      <c r="F40" s="139"/>
      <c r="G40" s="112"/>
      <c r="H40" s="116"/>
      <c r="I40" s="74"/>
      <c r="J40" s="126"/>
      <c r="K40" s="211" t="s">
        <v>194</v>
      </c>
      <c r="L40" s="121"/>
      <c r="M40" s="80"/>
      <c r="N40" s="68"/>
      <c r="O40" s="69"/>
      <c r="P40" s="69"/>
      <c r="Q40" s="70"/>
      <c r="R40" s="81"/>
    </row>
    <row r="41" ht="12.75" customHeight="1">
      <c r="A41" s="111"/>
      <c r="B41" s="88"/>
      <c r="C41" s="135" t="s">
        <v>195</v>
      </c>
      <c r="D41" s="225"/>
      <c r="E41" s="220"/>
      <c r="F41" s="139"/>
      <c r="G41" s="112"/>
      <c r="H41" s="116"/>
      <c r="I41" s="74"/>
      <c r="J41" s="126"/>
      <c r="K41" s="91" t="s">
        <v>196</v>
      </c>
      <c r="L41" s="92"/>
      <c r="M41" s="92"/>
      <c r="N41" s="92"/>
      <c r="O41" s="92"/>
      <c r="P41" s="92"/>
      <c r="Q41" s="92"/>
      <c r="R41" s="93"/>
    </row>
    <row r="42" ht="12.75" customHeight="1">
      <c r="A42" s="111"/>
      <c r="B42" s="88"/>
      <c r="C42" s="310" t="s">
        <v>197</v>
      </c>
      <c r="D42" s="227"/>
      <c r="E42" s="228"/>
      <c r="F42" s="207"/>
      <c r="G42" s="162"/>
      <c r="H42" s="229"/>
      <c r="I42" s="209"/>
      <c r="J42" s="210"/>
      <c r="K42" s="230" t="s">
        <v>198</v>
      </c>
      <c r="L42" s="70"/>
      <c r="M42" s="231"/>
      <c r="N42" s="70"/>
      <c r="O42" s="232" t="s">
        <v>199</v>
      </c>
      <c r="P42" s="232" t="s">
        <v>200</v>
      </c>
      <c r="Q42" s="233" t="s">
        <v>53</v>
      </c>
      <c r="R42" s="102"/>
    </row>
    <row r="43" ht="19.5" customHeight="1">
      <c r="A43" s="111"/>
      <c r="B43" s="88"/>
      <c r="C43" s="234" t="s">
        <v>202</v>
      </c>
      <c r="D43" s="235"/>
      <c r="E43" s="236"/>
      <c r="F43" s="237" t="s">
        <v>203</v>
      </c>
      <c r="G43" s="47"/>
      <c r="H43" s="47"/>
      <c r="I43" s="47"/>
      <c r="J43" s="123"/>
      <c r="K43" s="238" t="s">
        <v>204</v>
      </c>
      <c r="L43" s="66"/>
      <c r="M43" s="239"/>
      <c r="N43" s="66"/>
      <c r="O43" s="240"/>
      <c r="P43" s="241"/>
      <c r="Q43" s="242"/>
      <c r="R43" s="110"/>
    </row>
    <row r="44" ht="12.75" customHeight="1">
      <c r="A44" s="111"/>
      <c r="B44" s="88"/>
      <c r="C44" s="243" t="s">
        <v>296</v>
      </c>
      <c r="D44" s="244"/>
      <c r="E44" s="245"/>
      <c r="F44" s="246" t="s">
        <v>126</v>
      </c>
      <c r="G44" s="247" t="s">
        <v>206</v>
      </c>
      <c r="H44" s="178" t="s">
        <v>207</v>
      </c>
      <c r="I44" s="178" t="s">
        <v>208</v>
      </c>
      <c r="J44" s="248" t="s">
        <v>209</v>
      </c>
      <c r="K44" s="238" t="s">
        <v>210</v>
      </c>
      <c r="L44" s="66"/>
      <c r="M44" s="239"/>
      <c r="N44" s="66"/>
      <c r="O44" s="249"/>
      <c r="P44" s="250"/>
      <c r="Q44" s="187"/>
      <c r="R44" s="110"/>
    </row>
    <row r="45" ht="12.75" customHeight="1">
      <c r="A45" s="111"/>
      <c r="B45" s="88"/>
      <c r="C45" s="243" t="s">
        <v>212</v>
      </c>
      <c r="D45" s="252"/>
      <c r="E45" s="253"/>
      <c r="F45" s="254"/>
      <c r="G45" s="112"/>
      <c r="H45" s="112"/>
      <c r="I45" s="112"/>
      <c r="J45" s="140"/>
      <c r="K45" s="238" t="s">
        <v>215</v>
      </c>
      <c r="L45" s="66"/>
      <c r="M45" s="239"/>
      <c r="N45" s="66"/>
      <c r="O45" s="240"/>
      <c r="P45" s="256"/>
      <c r="Q45" s="258"/>
      <c r="R45" s="110"/>
    </row>
    <row r="46" ht="12.75" customHeight="1">
      <c r="A46" s="111"/>
      <c r="B46" s="88"/>
      <c r="C46" s="243" t="s">
        <v>217</v>
      </c>
      <c r="D46" s="252"/>
      <c r="E46" s="253"/>
      <c r="F46" s="254"/>
      <c r="G46" s="112"/>
      <c r="H46" s="112"/>
      <c r="I46" s="112"/>
      <c r="J46" s="140"/>
      <c r="K46" s="238" t="s">
        <v>220</v>
      </c>
      <c r="L46" s="66"/>
      <c r="M46" s="239"/>
      <c r="N46" s="66"/>
      <c r="O46" s="240"/>
      <c r="P46" s="240"/>
      <c r="Q46" s="258"/>
      <c r="R46" s="110"/>
    </row>
    <row r="47" ht="12.75" customHeight="1">
      <c r="A47" s="111"/>
      <c r="B47" s="88"/>
      <c r="C47" s="243" t="s">
        <v>222</v>
      </c>
      <c r="D47" s="252"/>
      <c r="E47" s="253"/>
      <c r="F47" s="270"/>
      <c r="G47" s="259"/>
      <c r="H47" s="259"/>
      <c r="I47" s="259"/>
      <c r="J47" s="140"/>
      <c r="K47" s="260" t="s">
        <v>225</v>
      </c>
      <c r="L47" s="80"/>
      <c r="M47" s="121"/>
      <c r="N47" s="80"/>
      <c r="O47" s="261"/>
      <c r="P47" s="261"/>
      <c r="Q47" s="262"/>
      <c r="R47" s="81"/>
    </row>
    <row r="48" ht="12.75" customHeight="1">
      <c r="A48" s="111"/>
      <c r="B48" s="88"/>
      <c r="C48" s="243" t="s">
        <v>226</v>
      </c>
      <c r="D48" s="252"/>
      <c r="E48" s="253"/>
      <c r="F48" s="254"/>
      <c r="G48" s="112"/>
      <c r="H48" s="112"/>
      <c r="I48" s="112"/>
      <c r="J48" s="263"/>
      <c r="K48" s="91" t="s">
        <v>228</v>
      </c>
      <c r="L48" s="92"/>
      <c r="M48" s="92"/>
      <c r="N48" s="92"/>
      <c r="O48" s="92"/>
      <c r="P48" s="92"/>
      <c r="Q48" s="92"/>
      <c r="R48" s="93"/>
    </row>
    <row r="49" ht="12.75" customHeight="1">
      <c r="A49" s="111"/>
      <c r="B49" s="88"/>
      <c r="C49" s="243" t="s">
        <v>229</v>
      </c>
      <c r="D49" s="252"/>
      <c r="E49" s="253"/>
      <c r="F49" s="254"/>
      <c r="G49" s="112"/>
      <c r="H49" s="112"/>
      <c r="I49" s="112"/>
      <c r="J49" s="140"/>
      <c r="K49" s="192" t="s">
        <v>232</v>
      </c>
      <c r="L49" s="193"/>
      <c r="M49" s="69"/>
      <c r="N49" s="70"/>
      <c r="O49" s="194" t="s">
        <v>234</v>
      </c>
      <c r="P49" s="265"/>
      <c r="Q49" s="70"/>
      <c r="R49" s="102"/>
    </row>
    <row r="50" ht="12.75" customHeight="1">
      <c r="A50" s="111"/>
      <c r="B50" s="88"/>
      <c r="C50" s="243" t="s">
        <v>237</v>
      </c>
      <c r="D50" s="252"/>
      <c r="E50" s="253"/>
      <c r="F50" s="254"/>
      <c r="G50" s="112"/>
      <c r="H50" s="112"/>
      <c r="I50" s="112"/>
      <c r="J50" s="140"/>
      <c r="K50" s="266" t="s">
        <v>238</v>
      </c>
      <c r="L50" s="267"/>
      <c r="M50" s="66"/>
      <c r="N50" s="268" t="s">
        <v>240</v>
      </c>
      <c r="O50" s="66"/>
      <c r="P50" s="269"/>
      <c r="Q50" s="66"/>
      <c r="R50" s="110"/>
    </row>
    <row r="51" ht="12.75" customHeight="1">
      <c r="A51" s="111"/>
      <c r="B51" s="88"/>
      <c r="C51" s="243" t="s">
        <v>241</v>
      </c>
      <c r="D51" s="252"/>
      <c r="E51" s="253"/>
      <c r="F51" s="270"/>
      <c r="G51" s="259"/>
      <c r="H51" s="259"/>
      <c r="I51" s="259"/>
      <c r="J51" s="140"/>
      <c r="K51" s="266" t="s">
        <v>242</v>
      </c>
      <c r="L51" s="267"/>
      <c r="M51" s="66"/>
      <c r="N51" s="271" t="s">
        <v>243</v>
      </c>
      <c r="O51" s="79"/>
      <c r="P51" s="79"/>
      <c r="Q51" s="80"/>
      <c r="R51" s="110"/>
    </row>
    <row r="52" ht="12.75" customHeight="1">
      <c r="A52" s="111"/>
      <c r="B52" s="88"/>
      <c r="C52" s="243"/>
      <c r="D52" s="252"/>
      <c r="E52" s="253"/>
      <c r="F52" s="254"/>
      <c r="G52" s="112"/>
      <c r="H52" s="112"/>
      <c r="I52" s="112"/>
      <c r="J52" s="263"/>
      <c r="K52" s="266" t="s">
        <v>244</v>
      </c>
      <c r="L52" s="267"/>
      <c r="M52" s="66"/>
      <c r="N52" s="205"/>
      <c r="Q52" s="206"/>
      <c r="R52" s="110"/>
    </row>
    <row r="53" ht="12.75" customHeight="1">
      <c r="A53" s="111"/>
      <c r="B53" s="88"/>
      <c r="C53" s="272" t="s">
        <v>245</v>
      </c>
      <c r="D53" s="273"/>
      <c r="E53" s="274"/>
      <c r="F53" s="254"/>
      <c r="G53" s="112"/>
      <c r="H53" s="112"/>
      <c r="I53" s="112"/>
      <c r="J53" s="263"/>
      <c r="K53" s="266" t="s">
        <v>246</v>
      </c>
      <c r="L53" s="267"/>
      <c r="M53" s="66"/>
      <c r="N53" s="205"/>
      <c r="Q53" s="206"/>
      <c r="R53" s="110"/>
    </row>
    <row r="54" ht="12.75" customHeight="1">
      <c r="A54" s="166"/>
      <c r="B54" s="167"/>
      <c r="C54" s="275"/>
      <c r="D54" s="276"/>
      <c r="E54" s="277"/>
      <c r="F54" s="278"/>
      <c r="G54" s="118"/>
      <c r="H54" s="118"/>
      <c r="I54" s="118"/>
      <c r="J54" s="279"/>
      <c r="K54" s="188" t="s">
        <v>247</v>
      </c>
      <c r="L54" s="180"/>
      <c r="M54" s="80"/>
      <c r="N54" s="280"/>
      <c r="O54" s="281"/>
      <c r="P54" s="281"/>
      <c r="Q54" s="282"/>
      <c r="R54" s="81"/>
    </row>
    <row r="55" ht="18.75" customHeight="1">
      <c r="A55" s="283" t="s">
        <v>248</v>
      </c>
      <c r="B55" s="315"/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285"/>
      <c r="Q55" s="285"/>
      <c r="R55" s="286"/>
    </row>
    <row r="56" ht="18.75" customHeight="1">
      <c r="A56" s="287"/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8"/>
      <c r="P56" s="288"/>
      <c r="Q56" s="288"/>
      <c r="R56" s="289"/>
    </row>
  </sheetData>
  <mergeCells count="126">
    <mergeCell ref="B4:Q4"/>
    <mergeCell ref="B5:Q5"/>
    <mergeCell ref="A6:B6"/>
    <mergeCell ref="C6:J6"/>
    <mergeCell ref="K6:Q6"/>
    <mergeCell ref="R8:R13"/>
    <mergeCell ref="P13:Q13"/>
    <mergeCell ref="K14:R14"/>
    <mergeCell ref="C8:J13"/>
    <mergeCell ref="C14:E14"/>
    <mergeCell ref="F14:H14"/>
    <mergeCell ref="I14:J14"/>
    <mergeCell ref="C15:D15"/>
    <mergeCell ref="I15:I16"/>
    <mergeCell ref="J15:J16"/>
    <mergeCell ref="I21:J21"/>
    <mergeCell ref="I22:J23"/>
    <mergeCell ref="I17:I18"/>
    <mergeCell ref="J17:J18"/>
    <mergeCell ref="I19:I20"/>
    <mergeCell ref="J19:J20"/>
    <mergeCell ref="F20:H20"/>
    <mergeCell ref="F21:G21"/>
    <mergeCell ref="F22:G22"/>
    <mergeCell ref="F23:G23"/>
    <mergeCell ref="P9:Q9"/>
    <mergeCell ref="P10:Q10"/>
    <mergeCell ref="P11:Q11"/>
    <mergeCell ref="P12:Q12"/>
    <mergeCell ref="P15:Q15"/>
    <mergeCell ref="R15:R20"/>
    <mergeCell ref="P16:Q16"/>
    <mergeCell ref="P17:Q17"/>
    <mergeCell ref="P18:Q18"/>
    <mergeCell ref="D1:G1"/>
    <mergeCell ref="J1:J2"/>
    <mergeCell ref="K1:K2"/>
    <mergeCell ref="L1:L2"/>
    <mergeCell ref="M1:Q2"/>
    <mergeCell ref="H2:I2"/>
    <mergeCell ref="B3:Q3"/>
    <mergeCell ref="C7:J7"/>
    <mergeCell ref="K7:R7"/>
    <mergeCell ref="R4:R5"/>
    <mergeCell ref="P8:Q8"/>
    <mergeCell ref="A7:B8"/>
    <mergeCell ref="A9:B13"/>
    <mergeCell ref="A14:B14"/>
    <mergeCell ref="A15:B15"/>
    <mergeCell ref="A19:B19"/>
    <mergeCell ref="A23:B23"/>
    <mergeCell ref="C24:E24"/>
    <mergeCell ref="P19:Q19"/>
    <mergeCell ref="P20:Q20"/>
    <mergeCell ref="K21:R21"/>
    <mergeCell ref="F24:J24"/>
    <mergeCell ref="H25:J25"/>
    <mergeCell ref="H26:J26"/>
    <mergeCell ref="H27:J27"/>
    <mergeCell ref="R22:R27"/>
    <mergeCell ref="R29:R34"/>
    <mergeCell ref="F35:J35"/>
    <mergeCell ref="K35:R35"/>
    <mergeCell ref="A36:B36"/>
    <mergeCell ref="H36:J36"/>
    <mergeCell ref="L36:M36"/>
    <mergeCell ref="H28:J28"/>
    <mergeCell ref="K28:R28"/>
    <mergeCell ref="A29:B29"/>
    <mergeCell ref="H29:J29"/>
    <mergeCell ref="L29:M29"/>
    <mergeCell ref="H30:J30"/>
    <mergeCell ref="M30:N30"/>
    <mergeCell ref="L53:M53"/>
    <mergeCell ref="L54:M54"/>
    <mergeCell ref="L49:N49"/>
    <mergeCell ref="L50:M50"/>
    <mergeCell ref="N50:O50"/>
    <mergeCell ref="P50:Q50"/>
    <mergeCell ref="L51:M51"/>
    <mergeCell ref="N51:Q54"/>
    <mergeCell ref="L52:M52"/>
    <mergeCell ref="H31:J31"/>
    <mergeCell ref="L31:M31"/>
    <mergeCell ref="N31:O31"/>
    <mergeCell ref="H32:J32"/>
    <mergeCell ref="L32:M32"/>
    <mergeCell ref="L33:M33"/>
    <mergeCell ref="L34:M34"/>
    <mergeCell ref="H41:J41"/>
    <mergeCell ref="H42:J42"/>
    <mergeCell ref="K42:L42"/>
    <mergeCell ref="M42:N42"/>
    <mergeCell ref="R36:R40"/>
    <mergeCell ref="R42:R47"/>
    <mergeCell ref="R49:R54"/>
    <mergeCell ref="N32:Q34"/>
    <mergeCell ref="N36:Q40"/>
    <mergeCell ref="L37:M37"/>
    <mergeCell ref="L38:M38"/>
    <mergeCell ref="L39:M39"/>
    <mergeCell ref="L40:M40"/>
    <mergeCell ref="K41:R41"/>
    <mergeCell ref="H33:J33"/>
    <mergeCell ref="H34:J34"/>
    <mergeCell ref="A37:B54"/>
    <mergeCell ref="H37:J37"/>
    <mergeCell ref="H38:J38"/>
    <mergeCell ref="H39:J39"/>
    <mergeCell ref="H40:J40"/>
    <mergeCell ref="A55:A56"/>
    <mergeCell ref="C43:E43"/>
    <mergeCell ref="F43:J43"/>
    <mergeCell ref="K43:L43"/>
    <mergeCell ref="M43:N43"/>
    <mergeCell ref="K44:L44"/>
    <mergeCell ref="M44:N44"/>
    <mergeCell ref="M45:N45"/>
    <mergeCell ref="K45:L45"/>
    <mergeCell ref="K46:L46"/>
    <mergeCell ref="M46:N46"/>
    <mergeCell ref="K47:L47"/>
    <mergeCell ref="M47:N47"/>
    <mergeCell ref="K48:R48"/>
    <mergeCell ref="P49:Q49"/>
    <mergeCell ref="B55:R56"/>
  </mergeCells>
  <conditionalFormatting sqref="D17:E17">
    <cfRule type="cellIs" dxfId="4" priority="1" operator="between">
      <formula>60</formula>
      <formula>100</formula>
    </cfRule>
  </conditionalFormatting>
  <conditionalFormatting sqref="D17:E17">
    <cfRule type="cellIs" dxfId="5" priority="2" operator="notBetween">
      <formula>60</formula>
      <formula>90</formula>
    </cfRule>
  </conditionalFormatting>
  <conditionalFormatting sqref="D18">
    <cfRule type="cellIs" dxfId="5" priority="3" operator="notBetween">
      <formula>60</formula>
      <formula>100</formula>
    </cfRule>
  </conditionalFormatting>
  <conditionalFormatting sqref="E18">
    <cfRule type="cellIs" dxfId="4" priority="4" operator="between">
      <formula>60</formula>
      <formula>100</formula>
    </cfRule>
  </conditionalFormatting>
  <conditionalFormatting sqref="E18">
    <cfRule type="cellIs" dxfId="6" priority="5" operator="notBetween">
      <formula>60</formula>
      <formula>100</formula>
    </cfRule>
  </conditionalFormatting>
  <conditionalFormatting sqref="D19:E19">
    <cfRule type="cellIs" dxfId="4" priority="6" operator="between">
      <formula>12</formula>
      <formula>20</formula>
    </cfRule>
  </conditionalFormatting>
  <conditionalFormatting sqref="D19:E19">
    <cfRule type="cellIs" dxfId="5" priority="7" operator="notBetween">
      <formula>12</formula>
      <formula>20</formula>
    </cfRule>
  </conditionalFormatting>
  <conditionalFormatting sqref="D21:E21">
    <cfRule type="cellIs" dxfId="4" priority="8" operator="between">
      <formula>92</formula>
      <formula>100</formula>
    </cfRule>
  </conditionalFormatting>
  <conditionalFormatting sqref="D21:E21">
    <cfRule type="cellIs" dxfId="5" priority="9" operator="notBetween">
      <formula>92</formula>
      <formula>100</formula>
    </cfRule>
  </conditionalFormatting>
  <conditionalFormatting sqref="D21:E23">
    <cfRule type="cellIs" dxfId="4" priority="10" operator="between">
      <formula>80</formula>
      <formula>180</formula>
    </cfRule>
  </conditionalFormatting>
  <conditionalFormatting sqref="D21:E23">
    <cfRule type="cellIs" dxfId="5" priority="11" operator="notBetween">
      <formula>80</formula>
      <formula>180</formula>
    </cfRule>
  </conditionalFormatting>
  <conditionalFormatting sqref="E20">
    <cfRule type="cellIs" dxfId="8" priority="12" operator="greaterThanOrEqual">
      <formula>37.8</formula>
    </cfRule>
  </conditionalFormatting>
  <conditionalFormatting sqref="H2">
    <cfRule type="cellIs" dxfId="0" priority="13" operator="lessThanOrEqual">
      <formula>1</formula>
    </cfRule>
  </conditionalFormatting>
  <conditionalFormatting sqref="P16:Q16 D47:E47">
    <cfRule type="cellIs" dxfId="1" priority="14" operator="between">
      <formula>60</formula>
      <formula>100</formula>
    </cfRule>
  </conditionalFormatting>
  <conditionalFormatting sqref="P16:Q16">
    <cfRule type="cellIs" dxfId="2" priority="15" operator="notBetween">
      <formula>60</formula>
      <formula>100</formula>
    </cfRule>
  </conditionalFormatting>
  <conditionalFormatting sqref="P15:Q15">
    <cfRule type="cellIs" dxfId="1" priority="16" operator="between">
      <formula>60</formula>
      <formula>100</formula>
    </cfRule>
  </conditionalFormatting>
  <conditionalFormatting sqref="P15:Q15 D47:E47">
    <cfRule type="cellIs" dxfId="3" priority="17" operator="notBetween">
      <formula>60</formula>
      <formula>100</formula>
    </cfRule>
  </conditionalFormatting>
  <conditionalFormatting sqref="P17:Q17">
    <cfRule type="cellIs" dxfId="1" priority="18" operator="between">
      <formula>1</formula>
      <formula>3</formula>
    </cfRule>
  </conditionalFormatting>
  <conditionalFormatting sqref="P17:Q17">
    <cfRule type="cellIs" dxfId="3" priority="19" operator="notBetween">
      <formula>1</formula>
      <formula>3</formula>
    </cfRule>
  </conditionalFormatting>
  <conditionalFormatting sqref="D19:E19 N23">
    <cfRule type="cellIs" dxfId="1" priority="20" operator="between">
      <formula>12</formula>
      <formula>20</formula>
    </cfRule>
  </conditionalFormatting>
  <conditionalFormatting sqref="N23">
    <cfRule type="cellIs" dxfId="3" priority="21" operator="notBetween">
      <formula>12</formula>
      <formula>20</formula>
    </cfRule>
  </conditionalFormatting>
  <conditionalFormatting sqref="N24">
    <cfRule type="cellIs" dxfId="1" priority="22" operator="between">
      <formula>21</formula>
      <formula>45</formula>
    </cfRule>
  </conditionalFormatting>
  <conditionalFormatting sqref="N24">
    <cfRule type="cellIs" dxfId="3" priority="23" operator="notBetween">
      <formula>21</formula>
      <formula>45</formula>
    </cfRule>
  </conditionalFormatting>
  <conditionalFormatting sqref="N25">
    <cfRule type="cellIs" dxfId="1" priority="24" operator="between">
      <formula>3</formula>
      <formula>10</formula>
    </cfRule>
  </conditionalFormatting>
  <conditionalFormatting sqref="N25">
    <cfRule type="cellIs" dxfId="3" priority="25" operator="notBetween">
      <formula>3</formula>
      <formula>10</formula>
    </cfRule>
  </conditionalFormatting>
  <conditionalFormatting sqref="L25:L27">
    <cfRule type="cellIs" dxfId="1" priority="26" operator="between">
      <formula>20</formula>
      <formula>35</formula>
    </cfRule>
  </conditionalFormatting>
  <conditionalFormatting sqref="L25:L27">
    <cfRule type="cellIs" dxfId="3" priority="27" operator="notBetween">
      <formula>20</formula>
      <formula>35</formula>
    </cfRule>
  </conditionalFormatting>
  <conditionalFormatting sqref="D17:E17">
    <cfRule type="cellIs" dxfId="1" priority="28" operator="between">
      <formula>60</formula>
      <formula>100</formula>
    </cfRule>
  </conditionalFormatting>
  <conditionalFormatting sqref="D17:E17">
    <cfRule type="cellIs" dxfId="8" priority="29" operator="notBetween">
      <formula>60</formula>
      <formula>90</formula>
    </cfRule>
  </conditionalFormatting>
  <conditionalFormatting sqref="D18">
    <cfRule type="cellIs" dxfId="1" priority="30" operator="between">
      <formula>60</formula>
      <formula>100</formula>
    </cfRule>
  </conditionalFormatting>
  <conditionalFormatting sqref="D18">
    <cfRule type="cellIs" dxfId="8" priority="31" operator="notBetween">
      <formula>60</formula>
      <formula>100</formula>
    </cfRule>
  </conditionalFormatting>
  <conditionalFormatting sqref="E18">
    <cfRule type="cellIs" dxfId="1" priority="32" operator="between">
      <formula>60</formula>
      <formula>100</formula>
    </cfRule>
  </conditionalFormatting>
  <conditionalFormatting sqref="E18">
    <cfRule type="cellIs" dxfId="3" priority="33" operator="notBetween">
      <formula>60</formula>
      <formula>100</formula>
    </cfRule>
  </conditionalFormatting>
  <conditionalFormatting sqref="D19:E19">
    <cfRule type="cellIs" dxfId="1" priority="34" operator="between">
      <formula>12</formula>
      <formula>20</formula>
    </cfRule>
  </conditionalFormatting>
  <conditionalFormatting sqref="D19:E19">
    <cfRule type="cellIs" dxfId="8" priority="35" operator="notBetween">
      <formula>12</formula>
      <formula>20</formula>
    </cfRule>
  </conditionalFormatting>
  <conditionalFormatting sqref="D20:E20">
    <cfRule type="cellIs" dxfId="1" priority="36" operator="between">
      <formula>35</formula>
      <formula>37.7</formula>
    </cfRule>
  </conditionalFormatting>
  <conditionalFormatting sqref="D20:E20">
    <cfRule type="cellIs" dxfId="8" priority="37" operator="notBetween">
      <formula>35</formula>
      <formula>37.7</formula>
    </cfRule>
  </conditionalFormatting>
  <conditionalFormatting sqref="D21:E21 D50:E50">
    <cfRule type="cellIs" dxfId="1" priority="38" operator="between">
      <formula>92</formula>
      <formula>100</formula>
    </cfRule>
  </conditionalFormatting>
  <conditionalFormatting sqref="D21:E21">
    <cfRule type="cellIs" dxfId="8" priority="39" operator="notBetween">
      <formula>92</formula>
      <formula>100</formula>
    </cfRule>
  </conditionalFormatting>
  <conditionalFormatting sqref="D21:E23">
    <cfRule type="cellIs" dxfId="1" priority="40" operator="between">
      <formula>80</formula>
      <formula>180</formula>
    </cfRule>
  </conditionalFormatting>
  <conditionalFormatting sqref="D21:E23">
    <cfRule type="cellIs" dxfId="8" priority="41" operator="notBetween">
      <formula>80</formula>
      <formula>180</formula>
    </cfRule>
  </conditionalFormatting>
  <conditionalFormatting sqref="J15:J16">
    <cfRule type="cellIs" dxfId="1" priority="42" operator="between">
      <formula>500</formula>
      <formula>2500</formula>
    </cfRule>
  </conditionalFormatting>
  <conditionalFormatting sqref="J15:J16">
    <cfRule type="cellIs" dxfId="3" priority="43" operator="notBetween">
      <formula>500</formula>
      <formula>2500</formula>
    </cfRule>
  </conditionalFormatting>
  <conditionalFormatting sqref="D26:E26">
    <cfRule type="cellIs" dxfId="1" priority="44" operator="between">
      <formula>7</formula>
      <formula>16</formula>
    </cfRule>
  </conditionalFormatting>
  <conditionalFormatting sqref="D26:E26">
    <cfRule type="cellIs" dxfId="3" priority="45" operator="notBetween">
      <formula>7</formula>
      <formula>16</formula>
    </cfRule>
  </conditionalFormatting>
  <conditionalFormatting sqref="D28:E28">
    <cfRule type="cellIs" dxfId="1" priority="46" operator="between">
      <formula>4000</formula>
      <formula>12000</formula>
    </cfRule>
  </conditionalFormatting>
  <conditionalFormatting sqref="D28:E28">
    <cfRule type="cellIs" dxfId="3" priority="47" operator="notBetween">
      <formula>4000</formula>
      <formula>12000</formula>
    </cfRule>
  </conditionalFormatting>
  <conditionalFormatting sqref="D29:E29">
    <cfRule type="cellIs" dxfId="1" priority="48" operator="between">
      <formula>150000</formula>
      <formula>500000</formula>
    </cfRule>
  </conditionalFormatting>
  <conditionalFormatting sqref="D29:E29">
    <cfRule type="cellIs" dxfId="3" priority="49" operator="notBetween">
      <formula>150000</formula>
      <formula>500000</formula>
    </cfRule>
  </conditionalFormatting>
  <conditionalFormatting sqref="D31:E31">
    <cfRule type="cellIs" dxfId="1" priority="50" operator="between">
      <formula>10</formula>
      <formula>45</formula>
    </cfRule>
  </conditionalFormatting>
  <conditionalFormatting sqref="D31:E31">
    <cfRule type="cellIs" dxfId="3" priority="51" operator="notBetween">
      <formula>10</formula>
      <formula>45</formula>
    </cfRule>
  </conditionalFormatting>
  <conditionalFormatting sqref="D32:E32">
    <cfRule type="cellIs" dxfId="1" priority="52" operator="between">
      <formula>0.5</formula>
      <formula>1.4</formula>
    </cfRule>
  </conditionalFormatting>
  <conditionalFormatting sqref="D32:E32">
    <cfRule type="cellIs" dxfId="3" priority="53" operator="notBetween">
      <formula>0.5</formula>
      <formula>1.4</formula>
    </cfRule>
  </conditionalFormatting>
  <conditionalFormatting sqref="D33:E33">
    <cfRule type="cellIs" dxfId="1" priority="54" operator="between">
      <formula>135</formula>
      <formula>145</formula>
    </cfRule>
  </conditionalFormatting>
  <conditionalFormatting sqref="D33:E33">
    <cfRule type="cellIs" dxfId="3" priority="55" operator="notBetween">
      <formula>135</formula>
      <formula>145</formula>
    </cfRule>
  </conditionalFormatting>
  <conditionalFormatting sqref="D34:E34">
    <cfRule type="cellIs" dxfId="1" priority="56" operator="between">
      <formula>3.5</formula>
      <formula>5.5</formula>
    </cfRule>
  </conditionalFormatting>
  <conditionalFormatting sqref="D34:E34">
    <cfRule type="cellIs" dxfId="3" priority="57" operator="notBetween">
      <formula>3.5</formula>
      <formula>5.5</formula>
    </cfRule>
  </conditionalFormatting>
  <conditionalFormatting sqref="D38:E38">
    <cfRule type="cellIs" dxfId="1" priority="58" operator="between">
      <formula>0</formula>
      <formula>0.1</formula>
    </cfRule>
  </conditionalFormatting>
  <conditionalFormatting sqref="D38:E38">
    <cfRule type="cellIs" dxfId="3" priority="59" operator="notBetween">
      <formula>0</formula>
      <formula>0.1</formula>
    </cfRule>
  </conditionalFormatting>
  <conditionalFormatting sqref="D45:E45">
    <cfRule type="cellIs" dxfId="1" priority="60" operator="between">
      <formula>7.35</formula>
      <formula>7.45</formula>
    </cfRule>
  </conditionalFormatting>
  <conditionalFormatting sqref="D45:E45">
    <cfRule type="cellIs" dxfId="3" priority="61" operator="notBetween">
      <formula>7.35</formula>
      <formula>7.45</formula>
    </cfRule>
  </conditionalFormatting>
  <conditionalFormatting sqref="D46:E46">
    <cfRule type="cellIs" dxfId="1" priority="62" operator="between">
      <formula>35</formula>
      <formula>45</formula>
    </cfRule>
  </conditionalFormatting>
  <conditionalFormatting sqref="D46:E46">
    <cfRule type="cellIs" dxfId="3" priority="63" operator="notBetween">
      <formula>35</formula>
      <formula>45</formula>
    </cfRule>
  </conditionalFormatting>
  <conditionalFormatting sqref="D47:E47">
    <cfRule type="cellIs" dxfId="1" priority="64" operator="between">
      <formula>60</formula>
      <formula>100</formula>
    </cfRule>
  </conditionalFormatting>
  <conditionalFormatting sqref="D47:E47">
    <cfRule type="cellIs" dxfId="3" priority="65" operator="notBetween">
      <formula>60</formula>
      <formula>100</formula>
    </cfRule>
  </conditionalFormatting>
  <conditionalFormatting sqref="D48:E48">
    <cfRule type="cellIs" dxfId="1" priority="66" operator="between">
      <formula>18</formula>
      <formula>30</formula>
    </cfRule>
  </conditionalFormatting>
  <conditionalFormatting sqref="D48:E48">
    <cfRule type="cellIs" dxfId="3" priority="67" operator="notBetween">
      <formula>18</formula>
      <formula>30</formula>
    </cfRule>
  </conditionalFormatting>
  <conditionalFormatting sqref="D49:E49">
    <cfRule type="cellIs" dxfId="1" priority="68" operator="between">
      <formula>-2</formula>
      <formula>2</formula>
    </cfRule>
  </conditionalFormatting>
  <conditionalFormatting sqref="D49:E49">
    <cfRule type="cellIs" dxfId="3" priority="69" operator="notBetween">
      <formula>-2</formula>
      <formula>2</formula>
    </cfRule>
  </conditionalFormatting>
  <conditionalFormatting sqref="D50:E50">
    <cfRule type="cellIs" dxfId="1" priority="70" operator="between">
      <formula>92</formula>
      <formula>100</formula>
    </cfRule>
  </conditionalFormatting>
  <conditionalFormatting sqref="D50:E50">
    <cfRule type="cellIs" dxfId="3" priority="71" operator="notBetween">
      <formula>92</formula>
      <formula>100</formula>
    </cfRule>
  </conditionalFormatting>
  <conditionalFormatting sqref="D51:E51">
    <cfRule type="cellIs" dxfId="1" priority="72" operator="between">
      <formula>400</formula>
      <formula>600</formula>
    </cfRule>
  </conditionalFormatting>
  <conditionalFormatting sqref="D51:E51">
    <cfRule type="cellIs" dxfId="3" priority="73" operator="notBetween">
      <formula>400</formula>
      <formula>600</formula>
    </cfRule>
  </conditionalFormatting>
  <conditionalFormatting sqref="B35">
    <cfRule type="cellIs" dxfId="1" priority="74" operator="between">
      <formula>0</formula>
      <formula>20</formula>
    </cfRule>
  </conditionalFormatting>
  <conditionalFormatting sqref="B35">
    <cfRule type="cellIs" dxfId="7" priority="75" operator="between">
      <formula>20</formula>
      <formula>50</formula>
    </cfRule>
  </conditionalFormatting>
  <conditionalFormatting sqref="B35">
    <cfRule type="cellIs" dxfId="8" priority="76" operator="between">
      <formula>50</formula>
      <formula>100</formula>
    </cfRule>
  </conditionalFormatting>
  <conditionalFormatting sqref="P8:Q8">
    <cfRule type="cellIs" dxfId="1" priority="77" operator="between">
      <formula>13</formula>
      <formula>15</formula>
    </cfRule>
  </conditionalFormatting>
  <conditionalFormatting sqref="P8:Q8">
    <cfRule type="cellIs" dxfId="3" priority="78" operator="notBetween">
      <formula>13</formula>
      <formula>15</formula>
    </cfRule>
  </conditionalFormatting>
  <conditionalFormatting sqref="P9:Q9">
    <cfRule type="cellIs" dxfId="1" priority="79" operator="between">
      <formula>0</formula>
      <formula>-2</formula>
    </cfRule>
  </conditionalFormatting>
  <conditionalFormatting sqref="P9:Q9">
    <cfRule type="cellIs" dxfId="3" priority="80" operator="notBetween">
      <formula>0</formula>
      <formula>-2</formula>
    </cfRule>
  </conditionalFormatting>
  <conditionalFormatting sqref="L49:N49">
    <cfRule type="notContainsBlanks" dxfId="3" priority="81">
      <formula>LEN(TRIM(L49))&gt;0</formula>
    </cfRule>
  </conditionalFormatting>
  <conditionalFormatting sqref="B33">
    <cfRule type="cellIs" dxfId="8" priority="82" operator="lessThan">
      <formula>40</formula>
    </cfRule>
  </conditionalFormatting>
  <conditionalFormatting sqref="B33">
    <cfRule type="cellIs" dxfId="9" priority="83" operator="between">
      <formula>40</formula>
      <formula>60</formula>
    </cfRule>
  </conditionalFormatting>
  <conditionalFormatting sqref="B33">
    <cfRule type="cellIs" dxfId="1" priority="84" operator="greaterThan">
      <formula>60</formula>
    </cfRule>
  </conditionalFormatting>
  <conditionalFormatting sqref="K1:K2">
    <cfRule type="notContainsBlanks" dxfId="8" priority="85">
      <formula>LEN(TRIM(K1))&gt;0</formula>
    </cfRule>
  </conditionalFormatting>
  <dataValidations>
    <dataValidation type="list" allowBlank="1" showErrorMessage="1" sqref="K9">
      <formula1>"MIDAZOLAM 2X,MIDAZOLAM 5X,FENTANIL 2X, FENTANIL 5X,TRIDIL 1X,DOBUTA 4X,PROPOFOL 5X,CETAMINA 2X,PRECEDEX 2X,ROCURONIO 5X"</formula1>
    </dataValidation>
    <dataValidation type="list" allowBlank="1" showErrorMessage="1" sqref="P20 L37 L39">
      <formula1>"SIM,NÃO"</formula1>
    </dataValidation>
    <dataValidation type="list" allowBlank="1" showErrorMessage="1" sqref="L29">
      <formula1>"JEJUM,GERAL,BRANDA,PASTOSA,LEVE,LIQ.C/RESÍDUO,LIQ.S/RESÍDUO,LIQ.FRIA,ÁGUA,CHÁ,GELATINA,DIBEN,HP ENERGI,ENERGI,DIAMAX"</formula1>
    </dataValidation>
    <dataValidation type="list" allowBlank="1" showErrorMessage="1" sqref="P49">
      <formula1>"N/A,I,II,III,IV,INCLASSIFICÁVEL"</formula1>
    </dataValidation>
    <dataValidation type="list" allowBlank="1" showErrorMessage="1" sqref="K16:K20">
      <formula1>"NORADRENALINA 4X,NORADRENALINA 8X,VASOPRESSINA 2X,NIPRID 1X, TRIDIL 1X,DOBUTAMINA 4X,DOPAMINA 5X,NIPRIDE X2"</formula1>
    </dataValidation>
    <dataValidation type="list" allowBlank="1" showErrorMessage="1" sqref="L22">
      <formula1>"TOT,TQT,VNI,CNO2,MNR,VENTURI,AA"</formula1>
    </dataValidation>
    <dataValidation type="list" allowBlank="1" showErrorMessage="1" sqref="P11:P13 P18 L31:L34 L36">
      <formula1>"SIM,NÃO"</formula1>
    </dataValidation>
    <dataValidation type="list" allowBlank="1" showErrorMessage="1" sqref="L23">
      <formula1>"1ºdia,2ºdia,3ºdia,4ºdia,5ºdia"</formula1>
    </dataValidation>
    <dataValidation type="list" allowBlank="1" showErrorMessage="1" sqref="K10:K13">
      <formula1>"MIDAZOLAM,FENTANIL,PROPOFOL,CETAMINA,PRECEDEX,ROCURONIO"</formula1>
    </dataValidation>
    <dataValidation type="list" allowBlank="1" showErrorMessage="1" sqref="P19">
      <formula1>"SIM,NÃO,N/A"</formula1>
    </dataValidation>
    <dataValidation type="list" allowBlank="1" showErrorMessage="1" sqref="M42:M43 M45">
      <formula1>"SIM,NÃO,N/A"</formula1>
    </dataValidation>
    <dataValidation type="list" allowBlank="1" showErrorMessage="1" sqref="O29">
      <formula1>"N/A,ORAL,SNE,GTT,PARENTERAL"</formula1>
    </dataValidation>
    <dataValidation type="list" allowBlank="1" showErrorMessage="1" sqref="M47">
      <formula1>"SANGRAMENTO,AGUARDA CC,QUEDA HB,PLAQUETOPENIA"</formula1>
    </dataValidation>
    <dataValidation type="list" allowBlank="1" showErrorMessage="1" sqref="M44 M46 L51:L53">
      <formula1>"SIM,NÃO,N/A"</formula1>
    </dataValidation>
  </dataValidations>
  <printOptions gridLines="1" horizontalCentered="1"/>
  <pageMargins bottom="0.14871749934278886" footer="0.0" header="0.0" left="0.18589687417848605" right="0.18589687417848605" top="0.18589687417848605"/>
  <pageSetup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9.88"/>
    <col customWidth="1" min="3" max="3" width="10.38"/>
    <col customWidth="1" min="4" max="5" width="8.63"/>
    <col customWidth="1" min="6" max="7" width="8.38"/>
    <col customWidth="1" min="8" max="8" width="9.13"/>
    <col customWidth="1" min="9" max="9" width="9.5"/>
    <col customWidth="1" min="10" max="10" width="9.38"/>
    <col customWidth="1" min="11" max="11" width="19.5"/>
    <col customWidth="1" min="12" max="12" width="10.5"/>
    <col customWidth="1" min="13" max="14" width="7.0"/>
    <col customWidth="1" min="15" max="15" width="13.13"/>
    <col customWidth="1" min="16" max="16" width="6.0"/>
    <col customWidth="1" min="17" max="17" width="9.25"/>
    <col customWidth="1" min="18" max="18" width="25.63"/>
  </cols>
  <sheetData>
    <row r="1" ht="16.5" customHeight="1">
      <c r="A1" s="43" t="s">
        <v>24</v>
      </c>
      <c r="B1" s="328"/>
      <c r="C1" s="45" t="s">
        <v>25</v>
      </c>
      <c r="D1" s="329"/>
      <c r="E1" s="47"/>
      <c r="F1" s="47"/>
      <c r="G1" s="48"/>
      <c r="H1" s="49" t="s">
        <v>4</v>
      </c>
      <c r="I1" s="330"/>
      <c r="J1" s="345" t="s">
        <v>392</v>
      </c>
      <c r="K1" s="346"/>
      <c r="L1" s="53" t="s">
        <v>28</v>
      </c>
      <c r="M1" s="347"/>
      <c r="N1" s="55"/>
      <c r="O1" s="55"/>
      <c r="P1" s="55"/>
      <c r="Q1" s="56"/>
      <c r="R1" s="57" t="s">
        <v>30</v>
      </c>
    </row>
    <row r="2" ht="27.75" customHeight="1">
      <c r="A2" s="58" t="s">
        <v>31</v>
      </c>
      <c r="B2" s="332"/>
      <c r="C2" s="60" t="s">
        <v>32</v>
      </c>
      <c r="D2" s="290">
        <v>46003.0</v>
      </c>
      <c r="E2" s="62" t="s">
        <v>33</v>
      </c>
      <c r="F2" s="348"/>
      <c r="G2" s="64" t="s">
        <v>34</v>
      </c>
      <c r="H2" s="349"/>
      <c r="I2" s="66"/>
      <c r="J2" s="67"/>
      <c r="K2" s="67"/>
      <c r="L2" s="67"/>
      <c r="M2" s="68"/>
      <c r="N2" s="69"/>
      <c r="O2" s="69"/>
      <c r="P2" s="69"/>
      <c r="Q2" s="70"/>
      <c r="R2" s="71">
        <v>6.0</v>
      </c>
    </row>
    <row r="3" ht="36.0" customHeight="1">
      <c r="A3" s="72" t="s">
        <v>35</v>
      </c>
      <c r="B3" s="33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66"/>
      <c r="R3" s="75" t="s">
        <v>37</v>
      </c>
    </row>
    <row r="4" ht="30.75" customHeight="1">
      <c r="A4" s="72" t="s">
        <v>38</v>
      </c>
      <c r="B4" s="33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66"/>
      <c r="R4" s="76">
        <f>TODAY()</f>
        <v>46009</v>
      </c>
    </row>
    <row r="5" ht="12.75" customHeight="1">
      <c r="A5" s="77" t="s">
        <v>40</v>
      </c>
      <c r="B5" s="335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80"/>
      <c r="R5" s="81"/>
    </row>
    <row r="6" ht="12.75" customHeight="1">
      <c r="A6" s="82" t="s">
        <v>42</v>
      </c>
      <c r="B6" s="83"/>
      <c r="C6" s="82" t="s">
        <v>43</v>
      </c>
      <c r="D6" s="84"/>
      <c r="E6" s="84"/>
      <c r="F6" s="84"/>
      <c r="G6" s="84"/>
      <c r="H6" s="84"/>
      <c r="I6" s="84"/>
      <c r="J6" s="83"/>
      <c r="K6" s="85" t="s">
        <v>44</v>
      </c>
      <c r="L6" s="55"/>
      <c r="M6" s="55"/>
      <c r="N6" s="55"/>
      <c r="O6" s="55"/>
      <c r="P6" s="55"/>
      <c r="Q6" s="56"/>
      <c r="R6" s="86" t="s">
        <v>45</v>
      </c>
    </row>
    <row r="7" ht="12.75" customHeight="1">
      <c r="A7" s="87" t="s">
        <v>46</v>
      </c>
      <c r="B7" s="88"/>
      <c r="C7" s="89" t="s">
        <v>47</v>
      </c>
      <c r="D7" s="69"/>
      <c r="E7" s="69"/>
      <c r="F7" s="69"/>
      <c r="G7" s="69"/>
      <c r="H7" s="69"/>
      <c r="I7" s="69"/>
      <c r="J7" s="90"/>
      <c r="K7" s="91" t="s">
        <v>48</v>
      </c>
      <c r="L7" s="92"/>
      <c r="M7" s="92"/>
      <c r="N7" s="92"/>
      <c r="O7" s="92"/>
      <c r="P7" s="92"/>
      <c r="Q7" s="92"/>
      <c r="R7" s="93"/>
    </row>
    <row r="8" ht="12.75" customHeight="1">
      <c r="A8" s="94"/>
      <c r="B8" s="90"/>
      <c r="C8" s="95"/>
      <c r="D8" s="79"/>
      <c r="E8" s="79"/>
      <c r="F8" s="79"/>
      <c r="G8" s="79"/>
      <c r="H8" s="79"/>
      <c r="I8" s="79"/>
      <c r="J8" s="96"/>
      <c r="K8" s="97" t="s">
        <v>50</v>
      </c>
      <c r="L8" s="98" t="s">
        <v>51</v>
      </c>
      <c r="M8" s="98" t="s">
        <v>52</v>
      </c>
      <c r="N8" s="99" t="s">
        <v>53</v>
      </c>
      <c r="O8" s="100" t="s">
        <v>54</v>
      </c>
      <c r="P8" s="101"/>
      <c r="Q8" s="70"/>
      <c r="R8" s="102"/>
    </row>
    <row r="9" ht="12.75" customHeight="1">
      <c r="A9" s="103"/>
      <c r="B9" s="96"/>
      <c r="J9" s="88"/>
      <c r="K9" s="104"/>
      <c r="L9" s="105"/>
      <c r="M9" s="105"/>
      <c r="N9" s="113"/>
      <c r="O9" s="108" t="s">
        <v>58</v>
      </c>
      <c r="P9" s="109"/>
      <c r="Q9" s="66"/>
      <c r="R9" s="110"/>
    </row>
    <row r="10" ht="12.75" customHeight="1">
      <c r="A10" s="111"/>
      <c r="B10" s="88"/>
      <c r="J10" s="88"/>
      <c r="K10" s="104"/>
      <c r="L10" s="112"/>
      <c r="M10" s="112"/>
      <c r="N10" s="113"/>
      <c r="O10" s="108" t="s">
        <v>59</v>
      </c>
      <c r="P10" s="109"/>
      <c r="Q10" s="66"/>
      <c r="R10" s="110"/>
    </row>
    <row r="11">
      <c r="A11" s="111"/>
      <c r="B11" s="88"/>
      <c r="J11" s="88"/>
      <c r="K11" s="104"/>
      <c r="L11" s="112"/>
      <c r="M11" s="112"/>
      <c r="N11" s="114"/>
      <c r="O11" s="115" t="s">
        <v>61</v>
      </c>
      <c r="P11" s="116"/>
      <c r="Q11" s="66"/>
      <c r="R11" s="110"/>
    </row>
    <row r="12">
      <c r="A12" s="111"/>
      <c r="B12" s="88"/>
      <c r="J12" s="88"/>
      <c r="K12" s="104"/>
      <c r="L12" s="112"/>
      <c r="M12" s="112"/>
      <c r="N12" s="113"/>
      <c r="O12" s="108" t="s">
        <v>63</v>
      </c>
      <c r="P12" s="116"/>
      <c r="Q12" s="66"/>
      <c r="R12" s="110"/>
    </row>
    <row r="13">
      <c r="A13" s="111"/>
      <c r="B13" s="88"/>
      <c r="C13" s="69"/>
      <c r="D13" s="69"/>
      <c r="E13" s="69"/>
      <c r="F13" s="69"/>
      <c r="G13" s="69"/>
      <c r="H13" s="69"/>
      <c r="I13" s="69"/>
      <c r="J13" s="90"/>
      <c r="K13" s="117"/>
      <c r="L13" s="118"/>
      <c r="M13" s="118"/>
      <c r="N13" s="119"/>
      <c r="O13" s="120" t="s">
        <v>64</v>
      </c>
      <c r="P13" s="121"/>
      <c r="Q13" s="80"/>
      <c r="R13" s="81"/>
    </row>
    <row r="14" ht="12.75" customHeight="1">
      <c r="A14" s="122" t="s">
        <v>66</v>
      </c>
      <c r="B14" s="123"/>
      <c r="C14" s="124" t="s">
        <v>67</v>
      </c>
      <c r="D14" s="47"/>
      <c r="E14" s="123"/>
      <c r="F14" s="124" t="s">
        <v>68</v>
      </c>
      <c r="G14" s="47"/>
      <c r="H14" s="123"/>
      <c r="I14" s="124" t="s">
        <v>69</v>
      </c>
      <c r="J14" s="123"/>
      <c r="K14" s="91" t="s">
        <v>70</v>
      </c>
      <c r="L14" s="92"/>
      <c r="M14" s="92"/>
      <c r="N14" s="92"/>
      <c r="O14" s="92"/>
      <c r="P14" s="92"/>
      <c r="Q14" s="92"/>
      <c r="R14" s="93"/>
    </row>
    <row r="15" ht="12.75" customHeight="1">
      <c r="A15" s="125" t="s">
        <v>71</v>
      </c>
      <c r="B15" s="126"/>
      <c r="C15" s="127" t="s">
        <v>72</v>
      </c>
      <c r="E15" s="128"/>
      <c r="F15" s="129" t="s">
        <v>37</v>
      </c>
      <c r="G15" s="130" t="s">
        <v>73</v>
      </c>
      <c r="H15" s="131" t="s">
        <v>74</v>
      </c>
      <c r="I15" s="132" t="s">
        <v>75</v>
      </c>
      <c r="J15" s="144"/>
      <c r="K15" s="97" t="s">
        <v>76</v>
      </c>
      <c r="L15" s="98" t="s">
        <v>51</v>
      </c>
      <c r="M15" s="98" t="s">
        <v>52</v>
      </c>
      <c r="N15" s="99" t="s">
        <v>53</v>
      </c>
      <c r="O15" s="134" t="s">
        <v>393</v>
      </c>
      <c r="P15" s="101"/>
      <c r="Q15" s="70"/>
      <c r="R15" s="102"/>
    </row>
    <row r="16" ht="12.75" customHeight="1">
      <c r="A16" s="135" t="s">
        <v>79</v>
      </c>
      <c r="B16" s="136" t="b">
        <v>0</v>
      </c>
      <c r="C16" s="137"/>
      <c r="D16" s="138" t="s">
        <v>80</v>
      </c>
      <c r="E16" s="138" t="s">
        <v>81</v>
      </c>
      <c r="F16" s="139"/>
      <c r="G16" s="112"/>
      <c r="H16" s="140"/>
      <c r="I16" s="141"/>
      <c r="J16" s="142"/>
      <c r="K16" s="104"/>
      <c r="L16" s="105"/>
      <c r="M16" s="105"/>
      <c r="N16" s="113"/>
      <c r="O16" s="108" t="s">
        <v>83</v>
      </c>
      <c r="P16" s="109"/>
      <c r="Q16" s="66"/>
      <c r="R16" s="110"/>
    </row>
    <row r="17" ht="12.75" customHeight="1">
      <c r="A17" s="135" t="s">
        <v>84</v>
      </c>
      <c r="B17" s="136" t="b">
        <v>0</v>
      </c>
      <c r="C17" s="139" t="s">
        <v>85</v>
      </c>
      <c r="D17" s="143"/>
      <c r="E17" s="140"/>
      <c r="F17" s="139"/>
      <c r="G17" s="112"/>
      <c r="H17" s="140"/>
      <c r="I17" s="132" t="s">
        <v>86</v>
      </c>
      <c r="J17" s="144"/>
      <c r="K17" s="104"/>
      <c r="L17" s="105"/>
      <c r="M17" s="112"/>
      <c r="N17" s="113"/>
      <c r="O17" s="108" t="s">
        <v>89</v>
      </c>
      <c r="P17" s="109"/>
      <c r="Q17" s="66"/>
      <c r="R17" s="110"/>
    </row>
    <row r="18" ht="12.75" customHeight="1">
      <c r="A18" s="146" t="s">
        <v>90</v>
      </c>
      <c r="B18" s="147" t="b">
        <v>0</v>
      </c>
      <c r="C18" s="139" t="s">
        <v>83</v>
      </c>
      <c r="D18" s="112"/>
      <c r="E18" s="140"/>
      <c r="F18" s="139"/>
      <c r="G18" s="112"/>
      <c r="H18" s="140"/>
      <c r="I18" s="141"/>
      <c r="J18" s="142"/>
      <c r="K18" s="104"/>
      <c r="L18" s="105"/>
      <c r="M18" s="112"/>
      <c r="N18" s="148"/>
      <c r="O18" s="149" t="s">
        <v>91</v>
      </c>
      <c r="P18" s="116"/>
      <c r="Q18" s="66"/>
      <c r="R18" s="110"/>
    </row>
    <row r="19" ht="12.75" customHeight="1">
      <c r="A19" s="122" t="s">
        <v>93</v>
      </c>
      <c r="B19" s="123"/>
      <c r="C19" s="139" t="s">
        <v>94</v>
      </c>
      <c r="D19" s="112"/>
      <c r="E19" s="140"/>
      <c r="F19" s="139"/>
      <c r="G19" s="112"/>
      <c r="H19" s="140"/>
      <c r="I19" s="132" t="s">
        <v>95</v>
      </c>
      <c r="J19" s="150"/>
      <c r="K19" s="104"/>
      <c r="L19" s="105"/>
      <c r="M19" s="112"/>
      <c r="N19" s="148"/>
      <c r="O19" s="149" t="s">
        <v>96</v>
      </c>
      <c r="P19" s="116"/>
      <c r="Q19" s="66"/>
      <c r="R19" s="110"/>
    </row>
    <row r="20" ht="12.75" customHeight="1">
      <c r="A20" s="135" t="s">
        <v>97</v>
      </c>
      <c r="B20" s="136" t="b">
        <v>0</v>
      </c>
      <c r="C20" s="139" t="s">
        <v>98</v>
      </c>
      <c r="D20" s="151"/>
      <c r="E20" s="140"/>
      <c r="F20" s="152" t="s">
        <v>99</v>
      </c>
      <c r="G20" s="74"/>
      <c r="H20" s="126"/>
      <c r="I20" s="141"/>
      <c r="J20" s="142"/>
      <c r="K20" s="117"/>
      <c r="L20" s="153"/>
      <c r="M20" s="118"/>
      <c r="N20" s="119"/>
      <c r="O20" s="120" t="s">
        <v>100</v>
      </c>
      <c r="P20" s="121"/>
      <c r="Q20" s="80"/>
      <c r="R20" s="81"/>
    </row>
    <row r="21" ht="12.75" customHeight="1">
      <c r="A21" s="135" t="s">
        <v>101</v>
      </c>
      <c r="B21" s="136" t="b">
        <v>0</v>
      </c>
      <c r="C21" s="139" t="s">
        <v>102</v>
      </c>
      <c r="D21" s="112"/>
      <c r="E21" s="140"/>
      <c r="F21" s="154"/>
      <c r="G21" s="66"/>
      <c r="H21" s="140"/>
      <c r="I21" s="152" t="s">
        <v>104</v>
      </c>
      <c r="J21" s="126"/>
      <c r="K21" s="91" t="s">
        <v>105</v>
      </c>
      <c r="L21" s="92"/>
      <c r="M21" s="92"/>
      <c r="N21" s="92"/>
      <c r="O21" s="92"/>
      <c r="P21" s="92"/>
      <c r="Q21" s="92"/>
      <c r="R21" s="93"/>
    </row>
    <row r="22" ht="12.75" customHeight="1">
      <c r="A22" s="146" t="s">
        <v>106</v>
      </c>
      <c r="B22" s="147" t="b">
        <v>0</v>
      </c>
      <c r="C22" s="139" t="s">
        <v>107</v>
      </c>
      <c r="D22" s="112"/>
      <c r="E22" s="140"/>
      <c r="F22" s="154"/>
      <c r="G22" s="66"/>
      <c r="H22" s="140"/>
      <c r="I22" s="218"/>
      <c r="J22" s="96"/>
      <c r="K22" s="301" t="s">
        <v>108</v>
      </c>
      <c r="L22" s="350"/>
      <c r="M22" s="303" t="s">
        <v>110</v>
      </c>
      <c r="N22" s="304"/>
      <c r="O22" s="160" t="s">
        <v>111</v>
      </c>
      <c r="P22" s="157"/>
      <c r="Q22" s="161" t="s">
        <v>112</v>
      </c>
      <c r="R22" s="102"/>
    </row>
    <row r="23" ht="12.75" customHeight="1">
      <c r="A23" s="122" t="s">
        <v>114</v>
      </c>
      <c r="B23" s="123"/>
      <c r="C23" s="139" t="s">
        <v>107</v>
      </c>
      <c r="D23" s="162"/>
      <c r="E23" s="163"/>
      <c r="F23" s="164"/>
      <c r="G23" s="165"/>
      <c r="H23" s="163"/>
      <c r="I23" s="166"/>
      <c r="J23" s="167"/>
      <c r="K23" s="168" t="s">
        <v>115</v>
      </c>
      <c r="L23" s="169"/>
      <c r="M23" s="170" t="s">
        <v>94</v>
      </c>
      <c r="N23" s="169"/>
      <c r="O23" s="170" t="s">
        <v>116</v>
      </c>
      <c r="P23" s="169"/>
      <c r="Q23" s="171" t="s">
        <v>390</v>
      </c>
      <c r="R23" s="110"/>
    </row>
    <row r="24" ht="12.75" customHeight="1">
      <c r="A24" s="103"/>
      <c r="B24" s="351"/>
      <c r="C24" s="122" t="s">
        <v>118</v>
      </c>
      <c r="D24" s="47"/>
      <c r="E24" s="123"/>
      <c r="F24" s="172" t="s">
        <v>119</v>
      </c>
      <c r="G24" s="47"/>
      <c r="H24" s="47"/>
      <c r="I24" s="47"/>
      <c r="J24" s="123"/>
      <c r="K24" s="168" t="s">
        <v>120</v>
      </c>
      <c r="L24" s="169"/>
      <c r="M24" s="170" t="s">
        <v>121</v>
      </c>
      <c r="N24" s="169"/>
      <c r="O24" s="170" t="s">
        <v>122</v>
      </c>
      <c r="P24" s="169"/>
      <c r="Q24" s="173" t="s">
        <v>123</v>
      </c>
      <c r="R24" s="110"/>
    </row>
    <row r="25" ht="12.75" customHeight="1">
      <c r="A25" s="87"/>
      <c r="B25" s="352"/>
      <c r="C25" s="174"/>
      <c r="D25" s="175" t="s">
        <v>124</v>
      </c>
      <c r="E25" s="176" t="s">
        <v>125</v>
      </c>
      <c r="F25" s="177" t="s">
        <v>37</v>
      </c>
      <c r="G25" s="178" t="s">
        <v>126</v>
      </c>
      <c r="H25" s="179" t="s">
        <v>127</v>
      </c>
      <c r="I25" s="74"/>
      <c r="J25" s="126"/>
      <c r="K25" s="168" t="s">
        <v>128</v>
      </c>
      <c r="L25" s="169"/>
      <c r="M25" s="170" t="s">
        <v>129</v>
      </c>
      <c r="N25" s="169"/>
      <c r="O25" s="170" t="s">
        <v>130</v>
      </c>
      <c r="P25" s="169"/>
      <c r="Q25" s="171"/>
      <c r="R25" s="110"/>
    </row>
    <row r="26" ht="12.75" customHeight="1">
      <c r="A26" s="87"/>
      <c r="B26" s="352"/>
      <c r="C26" s="135" t="s">
        <v>132</v>
      </c>
      <c r="D26" s="225"/>
      <c r="E26" s="136"/>
      <c r="F26" s="185"/>
      <c r="G26" s="186"/>
      <c r="H26" s="187"/>
      <c r="I26" s="74"/>
      <c r="J26" s="126"/>
      <c r="K26" s="168" t="s">
        <v>135</v>
      </c>
      <c r="L26" s="184"/>
      <c r="M26" s="170" t="s">
        <v>136</v>
      </c>
      <c r="N26" s="169"/>
      <c r="O26" s="170" t="s">
        <v>137</v>
      </c>
      <c r="P26" s="169"/>
      <c r="Q26" s="173" t="s">
        <v>138</v>
      </c>
      <c r="R26" s="110"/>
    </row>
    <row r="27" ht="17.25" customHeight="1">
      <c r="A27" s="87"/>
      <c r="B27" s="352"/>
      <c r="C27" s="135" t="s">
        <v>139</v>
      </c>
      <c r="D27" s="225"/>
      <c r="E27" s="136"/>
      <c r="F27" s="185"/>
      <c r="G27" s="186"/>
      <c r="H27" s="187"/>
      <c r="I27" s="74"/>
      <c r="J27" s="126"/>
      <c r="K27" s="188" t="s">
        <v>140</v>
      </c>
      <c r="L27" s="189"/>
      <c r="M27" s="190" t="s">
        <v>141</v>
      </c>
      <c r="N27" s="189"/>
      <c r="O27" s="190" t="s">
        <v>142</v>
      </c>
      <c r="P27" s="189"/>
      <c r="Q27" s="180"/>
      <c r="R27" s="81"/>
    </row>
    <row r="28" ht="12.75" customHeight="1">
      <c r="A28" s="353"/>
      <c r="B28" s="354"/>
      <c r="C28" s="135" t="s">
        <v>143</v>
      </c>
      <c r="D28" s="225"/>
      <c r="E28" s="191"/>
      <c r="F28" s="185"/>
      <c r="G28" s="186"/>
      <c r="H28" s="187"/>
      <c r="I28" s="74"/>
      <c r="J28" s="126"/>
      <c r="K28" s="355" t="s">
        <v>144</v>
      </c>
      <c r="L28" s="55"/>
      <c r="M28" s="55"/>
      <c r="N28" s="55"/>
      <c r="O28" s="55"/>
      <c r="P28" s="55"/>
      <c r="Q28" s="55"/>
      <c r="R28" s="356"/>
    </row>
    <row r="29" ht="12.75" customHeight="1">
      <c r="A29" s="124" t="s">
        <v>145</v>
      </c>
      <c r="B29" s="123"/>
      <c r="C29" s="135" t="s">
        <v>146</v>
      </c>
      <c r="D29" s="219"/>
      <c r="E29" s="191"/>
      <c r="F29" s="185"/>
      <c r="G29" s="186"/>
      <c r="H29" s="187"/>
      <c r="I29" s="74"/>
      <c r="J29" s="126"/>
      <c r="K29" s="357" t="s">
        <v>5</v>
      </c>
      <c r="L29" s="358"/>
      <c r="M29" s="359"/>
      <c r="N29" s="360" t="s">
        <v>148</v>
      </c>
      <c r="O29" s="361"/>
      <c r="P29" s="362" t="s">
        <v>158</v>
      </c>
      <c r="Q29" s="363"/>
      <c r="R29" s="364"/>
    </row>
    <row r="30" ht="12.75" customHeight="1">
      <c r="A30" s="139" t="s">
        <v>151</v>
      </c>
      <c r="B30" s="140"/>
      <c r="C30" s="135" t="s">
        <v>153</v>
      </c>
      <c r="D30" s="225"/>
      <c r="E30" s="136"/>
      <c r="F30" s="185"/>
      <c r="G30" s="186"/>
      <c r="H30" s="187"/>
      <c r="I30" s="74"/>
      <c r="J30" s="126"/>
      <c r="K30" s="365" t="s">
        <v>154</v>
      </c>
      <c r="L30" s="366"/>
      <c r="M30" s="367" t="s">
        <v>156</v>
      </c>
      <c r="N30" s="368"/>
      <c r="O30" s="369"/>
      <c r="P30" s="370" t="s">
        <v>149</v>
      </c>
      <c r="Q30" s="371"/>
      <c r="R30" s="88"/>
    </row>
    <row r="31" ht="12.75" customHeight="1">
      <c r="A31" s="139" t="s">
        <v>160</v>
      </c>
      <c r="B31" s="140"/>
      <c r="C31" s="135" t="s">
        <v>162</v>
      </c>
      <c r="D31" s="225"/>
      <c r="E31" s="136"/>
      <c r="F31" s="139"/>
      <c r="G31" s="112"/>
      <c r="H31" s="187"/>
      <c r="I31" s="74"/>
      <c r="J31" s="126"/>
      <c r="K31" s="372" t="s">
        <v>163</v>
      </c>
      <c r="L31" s="373"/>
      <c r="M31" s="368"/>
      <c r="N31" s="374"/>
      <c r="O31" s="368"/>
      <c r="P31" s="375" t="s">
        <v>391</v>
      </c>
      <c r="Q31" s="376"/>
      <c r="R31" s="88"/>
    </row>
    <row r="32" ht="12.75" customHeight="1">
      <c r="A32" s="139" t="s">
        <v>165</v>
      </c>
      <c r="B32" s="140"/>
      <c r="C32" s="135" t="s">
        <v>167</v>
      </c>
      <c r="D32" s="219"/>
      <c r="E32" s="136"/>
      <c r="F32" s="139"/>
      <c r="G32" s="112"/>
      <c r="H32" s="187"/>
      <c r="I32" s="74"/>
      <c r="J32" s="126"/>
      <c r="K32" s="377" t="s">
        <v>168</v>
      </c>
      <c r="L32" s="378"/>
      <c r="M32" s="368"/>
      <c r="N32" s="379" t="s">
        <v>332</v>
      </c>
      <c r="O32" s="380"/>
      <c r="P32" s="380"/>
      <c r="Q32" s="381"/>
      <c r="R32" s="88"/>
    </row>
    <row r="33" ht="12.75" customHeight="1">
      <c r="A33" s="135" t="s">
        <v>169</v>
      </c>
      <c r="B33" s="136"/>
      <c r="C33" s="135" t="s">
        <v>170</v>
      </c>
      <c r="D33" s="219"/>
      <c r="E33" s="136"/>
      <c r="F33" s="139"/>
      <c r="G33" s="112"/>
      <c r="H33" s="187"/>
      <c r="I33" s="74"/>
      <c r="J33" s="126"/>
      <c r="K33" s="377" t="s">
        <v>171</v>
      </c>
      <c r="L33" s="378"/>
      <c r="M33" s="368"/>
      <c r="N33" s="382"/>
      <c r="Q33" s="383"/>
      <c r="R33" s="88"/>
    </row>
    <row r="34" ht="12.75" customHeight="1">
      <c r="A34" s="174" t="s">
        <v>172</v>
      </c>
      <c r="B34" s="136"/>
      <c r="C34" s="135" t="s">
        <v>173</v>
      </c>
      <c r="D34" s="219"/>
      <c r="E34" s="136"/>
      <c r="F34" s="207"/>
      <c r="G34" s="162"/>
      <c r="H34" s="208"/>
      <c r="I34" s="209"/>
      <c r="J34" s="210"/>
      <c r="K34" s="384" t="s">
        <v>174</v>
      </c>
      <c r="L34" s="385"/>
      <c r="M34" s="386"/>
      <c r="N34" s="387"/>
      <c r="O34" s="288"/>
      <c r="P34" s="288"/>
      <c r="Q34" s="289"/>
      <c r="R34" s="167"/>
    </row>
    <row r="35" ht="12.75" customHeight="1">
      <c r="A35" s="212" t="s">
        <v>175</v>
      </c>
      <c r="B35" s="147"/>
      <c r="C35" s="135" t="s">
        <v>176</v>
      </c>
      <c r="D35" s="225"/>
      <c r="E35" s="136"/>
      <c r="F35" s="124" t="s">
        <v>177</v>
      </c>
      <c r="G35" s="47"/>
      <c r="H35" s="47"/>
      <c r="I35" s="47"/>
      <c r="J35" s="123"/>
      <c r="K35" s="388" t="s">
        <v>178</v>
      </c>
      <c r="L35" s="281"/>
      <c r="M35" s="281"/>
      <c r="N35" s="281"/>
      <c r="O35" s="281"/>
      <c r="P35" s="281"/>
      <c r="Q35" s="281"/>
      <c r="R35" s="167"/>
    </row>
    <row r="36" ht="18.75" customHeight="1">
      <c r="A36" s="213" t="s">
        <v>179</v>
      </c>
      <c r="B36" s="123"/>
      <c r="C36" s="135" t="s">
        <v>180</v>
      </c>
      <c r="D36" s="219"/>
      <c r="E36" s="136"/>
      <c r="F36" s="129" t="s">
        <v>37</v>
      </c>
      <c r="G36" s="130" t="s">
        <v>126</v>
      </c>
      <c r="H36" s="214" t="s">
        <v>127</v>
      </c>
      <c r="I36" s="74"/>
      <c r="J36" s="126"/>
      <c r="K36" s="215" t="s">
        <v>181</v>
      </c>
      <c r="L36" s="216"/>
      <c r="M36" s="70"/>
      <c r="N36" s="217" t="s">
        <v>182</v>
      </c>
      <c r="Q36" s="206"/>
      <c r="R36" s="102"/>
    </row>
    <row r="37" ht="12.75" customHeight="1">
      <c r="A37" s="218" t="s">
        <v>360</v>
      </c>
      <c r="B37" s="96"/>
      <c r="C37" s="135" t="s">
        <v>185</v>
      </c>
      <c r="D37" s="219"/>
      <c r="E37" s="220"/>
      <c r="F37" s="139"/>
      <c r="G37" s="112"/>
      <c r="H37" s="116"/>
      <c r="I37" s="74"/>
      <c r="J37" s="126"/>
      <c r="K37" s="204" t="s">
        <v>188</v>
      </c>
      <c r="L37" s="116"/>
      <c r="M37" s="66"/>
      <c r="N37" s="205"/>
      <c r="Q37" s="206"/>
      <c r="R37" s="110"/>
    </row>
    <row r="38" ht="12.75" customHeight="1">
      <c r="A38" s="111"/>
      <c r="B38" s="88"/>
      <c r="C38" s="135" t="s">
        <v>189</v>
      </c>
      <c r="D38" s="219"/>
      <c r="E38" s="220"/>
      <c r="F38" s="139"/>
      <c r="G38" s="112"/>
      <c r="H38" s="116"/>
      <c r="I38" s="74"/>
      <c r="J38" s="126"/>
      <c r="K38" s="223" t="s">
        <v>190</v>
      </c>
      <c r="L38" s="116" t="str">
        <f>(J15/Q30)/E15</f>
        <v>#DIV/0!</v>
      </c>
      <c r="M38" s="66"/>
      <c r="N38" s="205"/>
      <c r="Q38" s="206"/>
      <c r="R38" s="110"/>
    </row>
    <row r="39" ht="12.75" customHeight="1">
      <c r="A39" s="111"/>
      <c r="B39" s="88"/>
      <c r="C39" s="135" t="s">
        <v>191</v>
      </c>
      <c r="D39" s="219"/>
      <c r="E39" s="220"/>
      <c r="F39" s="139"/>
      <c r="G39" s="112"/>
      <c r="H39" s="116"/>
      <c r="I39" s="74"/>
      <c r="J39" s="126"/>
      <c r="K39" s="204" t="s">
        <v>192</v>
      </c>
      <c r="L39" s="116"/>
      <c r="M39" s="66"/>
      <c r="N39" s="205"/>
      <c r="Q39" s="206"/>
      <c r="R39" s="110"/>
    </row>
    <row r="40" ht="12.75" customHeight="1">
      <c r="A40" s="111"/>
      <c r="B40" s="88"/>
      <c r="C40" s="135" t="s">
        <v>193</v>
      </c>
      <c r="D40" s="219"/>
      <c r="E40" s="220"/>
      <c r="F40" s="139"/>
      <c r="G40" s="112"/>
      <c r="H40" s="116"/>
      <c r="I40" s="74"/>
      <c r="J40" s="126"/>
      <c r="K40" s="211" t="s">
        <v>194</v>
      </c>
      <c r="L40" s="121"/>
      <c r="M40" s="80"/>
      <c r="N40" s="68"/>
      <c r="O40" s="69"/>
      <c r="P40" s="69"/>
      <c r="Q40" s="70"/>
      <c r="R40" s="81"/>
    </row>
    <row r="41" ht="12.75" customHeight="1">
      <c r="A41" s="111"/>
      <c r="B41" s="88"/>
      <c r="C41" s="135" t="s">
        <v>195</v>
      </c>
      <c r="D41" s="225"/>
      <c r="E41" s="220"/>
      <c r="F41" s="139"/>
      <c r="G41" s="112"/>
      <c r="H41" s="116"/>
      <c r="I41" s="74"/>
      <c r="J41" s="126"/>
      <c r="K41" s="91" t="s">
        <v>196</v>
      </c>
      <c r="L41" s="92"/>
      <c r="M41" s="92"/>
      <c r="N41" s="92"/>
      <c r="O41" s="92"/>
      <c r="P41" s="92"/>
      <c r="Q41" s="92"/>
      <c r="R41" s="93"/>
    </row>
    <row r="42" ht="12.75" customHeight="1">
      <c r="A42" s="111"/>
      <c r="B42" s="88"/>
      <c r="C42" s="310" t="s">
        <v>197</v>
      </c>
      <c r="D42" s="227"/>
      <c r="E42" s="228"/>
      <c r="F42" s="207"/>
      <c r="G42" s="162"/>
      <c r="H42" s="229"/>
      <c r="I42" s="209"/>
      <c r="J42" s="210"/>
      <c r="K42" s="230" t="s">
        <v>198</v>
      </c>
      <c r="L42" s="70"/>
      <c r="M42" s="231"/>
      <c r="N42" s="70"/>
      <c r="O42" s="232" t="s">
        <v>199</v>
      </c>
      <c r="P42" s="232" t="s">
        <v>200</v>
      </c>
      <c r="Q42" s="233" t="s">
        <v>53</v>
      </c>
      <c r="R42" s="102"/>
    </row>
    <row r="43" ht="19.5" customHeight="1">
      <c r="A43" s="111"/>
      <c r="B43" s="88"/>
      <c r="C43" s="234" t="s">
        <v>202</v>
      </c>
      <c r="D43" s="235"/>
      <c r="E43" s="236"/>
      <c r="F43" s="237" t="s">
        <v>203</v>
      </c>
      <c r="G43" s="47"/>
      <c r="H43" s="47"/>
      <c r="I43" s="47"/>
      <c r="J43" s="123"/>
      <c r="K43" s="238" t="s">
        <v>204</v>
      </c>
      <c r="L43" s="66"/>
      <c r="M43" s="239"/>
      <c r="N43" s="66"/>
      <c r="O43" s="240"/>
      <c r="P43" s="241"/>
      <c r="Q43" s="242"/>
      <c r="R43" s="110"/>
    </row>
    <row r="44" ht="12.75" customHeight="1">
      <c r="A44" s="111"/>
      <c r="B44" s="88"/>
      <c r="C44" s="243" t="s">
        <v>296</v>
      </c>
      <c r="D44" s="244"/>
      <c r="E44" s="245"/>
      <c r="F44" s="246" t="s">
        <v>126</v>
      </c>
      <c r="G44" s="247" t="s">
        <v>206</v>
      </c>
      <c r="H44" s="178" t="s">
        <v>207</v>
      </c>
      <c r="I44" s="178" t="s">
        <v>208</v>
      </c>
      <c r="J44" s="248" t="s">
        <v>209</v>
      </c>
      <c r="K44" s="238" t="s">
        <v>210</v>
      </c>
      <c r="L44" s="66"/>
      <c r="M44" s="239"/>
      <c r="N44" s="66"/>
      <c r="O44" s="249"/>
      <c r="P44" s="250"/>
      <c r="Q44" s="187"/>
      <c r="R44" s="110"/>
    </row>
    <row r="45" ht="12.75" customHeight="1">
      <c r="A45" s="111"/>
      <c r="B45" s="88"/>
      <c r="C45" s="243" t="s">
        <v>212</v>
      </c>
      <c r="D45" s="252"/>
      <c r="E45" s="253"/>
      <c r="F45" s="254"/>
      <c r="G45" s="112"/>
      <c r="H45" s="112"/>
      <c r="I45" s="112"/>
      <c r="J45" s="140"/>
      <c r="K45" s="238" t="s">
        <v>215</v>
      </c>
      <c r="L45" s="66"/>
      <c r="M45" s="239"/>
      <c r="N45" s="66"/>
      <c r="O45" s="240"/>
      <c r="P45" s="256"/>
      <c r="Q45" s="258"/>
      <c r="R45" s="110"/>
    </row>
    <row r="46" ht="12.75" customHeight="1">
      <c r="A46" s="111"/>
      <c r="B46" s="88"/>
      <c r="C46" s="243" t="s">
        <v>217</v>
      </c>
      <c r="D46" s="252"/>
      <c r="E46" s="253"/>
      <c r="F46" s="254"/>
      <c r="G46" s="112"/>
      <c r="H46" s="112"/>
      <c r="I46" s="112"/>
      <c r="J46" s="140"/>
      <c r="K46" s="238" t="s">
        <v>220</v>
      </c>
      <c r="L46" s="66"/>
      <c r="M46" s="239"/>
      <c r="N46" s="66"/>
      <c r="O46" s="240"/>
      <c r="P46" s="240"/>
      <c r="Q46" s="258"/>
      <c r="R46" s="110"/>
    </row>
    <row r="47" ht="12.75" customHeight="1">
      <c r="A47" s="111"/>
      <c r="B47" s="88"/>
      <c r="C47" s="243" t="s">
        <v>222</v>
      </c>
      <c r="D47" s="252"/>
      <c r="E47" s="253"/>
      <c r="F47" s="270"/>
      <c r="G47" s="259"/>
      <c r="H47" s="259"/>
      <c r="I47" s="259"/>
      <c r="J47" s="140"/>
      <c r="K47" s="260" t="s">
        <v>225</v>
      </c>
      <c r="L47" s="80"/>
      <c r="M47" s="121"/>
      <c r="N47" s="80"/>
      <c r="O47" s="261"/>
      <c r="P47" s="261"/>
      <c r="Q47" s="262"/>
      <c r="R47" s="81"/>
    </row>
    <row r="48" ht="12.75" customHeight="1">
      <c r="A48" s="111"/>
      <c r="B48" s="88"/>
      <c r="C48" s="243" t="s">
        <v>226</v>
      </c>
      <c r="D48" s="252"/>
      <c r="E48" s="253"/>
      <c r="F48" s="254"/>
      <c r="G48" s="112"/>
      <c r="H48" s="112"/>
      <c r="I48" s="112"/>
      <c r="J48" s="263"/>
      <c r="K48" s="91" t="s">
        <v>228</v>
      </c>
      <c r="L48" s="92"/>
      <c r="M48" s="92"/>
      <c r="N48" s="92"/>
      <c r="O48" s="92"/>
      <c r="P48" s="92"/>
      <c r="Q48" s="92"/>
      <c r="R48" s="93"/>
    </row>
    <row r="49" ht="12.75" customHeight="1">
      <c r="A49" s="111"/>
      <c r="B49" s="88"/>
      <c r="C49" s="243" t="s">
        <v>229</v>
      </c>
      <c r="D49" s="252"/>
      <c r="E49" s="253"/>
      <c r="F49" s="254"/>
      <c r="G49" s="112"/>
      <c r="H49" s="112"/>
      <c r="I49" s="112"/>
      <c r="J49" s="140"/>
      <c r="K49" s="192" t="s">
        <v>232</v>
      </c>
      <c r="L49" s="193"/>
      <c r="M49" s="69"/>
      <c r="N49" s="70"/>
      <c r="O49" s="194" t="s">
        <v>234</v>
      </c>
      <c r="P49" s="265"/>
      <c r="Q49" s="70"/>
      <c r="R49" s="102"/>
    </row>
    <row r="50" ht="12.75" customHeight="1">
      <c r="A50" s="111"/>
      <c r="B50" s="88"/>
      <c r="C50" s="243" t="s">
        <v>237</v>
      </c>
      <c r="D50" s="252"/>
      <c r="E50" s="253"/>
      <c r="F50" s="254"/>
      <c r="G50" s="112"/>
      <c r="H50" s="112"/>
      <c r="I50" s="112"/>
      <c r="J50" s="140"/>
      <c r="K50" s="266" t="s">
        <v>238</v>
      </c>
      <c r="L50" s="267"/>
      <c r="M50" s="66"/>
      <c r="N50" s="268" t="s">
        <v>240</v>
      </c>
      <c r="O50" s="66"/>
      <c r="P50" s="269"/>
      <c r="Q50" s="66"/>
      <c r="R50" s="110"/>
    </row>
    <row r="51" ht="12.75" customHeight="1">
      <c r="A51" s="111"/>
      <c r="B51" s="88"/>
      <c r="C51" s="243" t="s">
        <v>241</v>
      </c>
      <c r="D51" s="252"/>
      <c r="E51" s="253"/>
      <c r="F51" s="270"/>
      <c r="G51" s="259"/>
      <c r="H51" s="259"/>
      <c r="I51" s="259"/>
      <c r="J51" s="140"/>
      <c r="K51" s="266" t="s">
        <v>242</v>
      </c>
      <c r="L51" s="267"/>
      <c r="M51" s="66"/>
      <c r="N51" s="271" t="s">
        <v>243</v>
      </c>
      <c r="O51" s="79"/>
      <c r="P51" s="79"/>
      <c r="Q51" s="80"/>
      <c r="R51" s="110"/>
    </row>
    <row r="52" ht="12.75" customHeight="1">
      <c r="A52" s="111"/>
      <c r="B52" s="88"/>
      <c r="C52" s="243"/>
      <c r="D52" s="252"/>
      <c r="E52" s="253"/>
      <c r="F52" s="254"/>
      <c r="G52" s="112"/>
      <c r="H52" s="112"/>
      <c r="I52" s="112"/>
      <c r="J52" s="263"/>
      <c r="K52" s="266" t="s">
        <v>244</v>
      </c>
      <c r="L52" s="267"/>
      <c r="M52" s="66"/>
      <c r="N52" s="205"/>
      <c r="Q52" s="206"/>
      <c r="R52" s="110"/>
    </row>
    <row r="53" ht="12.75" customHeight="1">
      <c r="A53" s="111"/>
      <c r="B53" s="88"/>
      <c r="C53" s="272" t="s">
        <v>245</v>
      </c>
      <c r="D53" s="273"/>
      <c r="E53" s="274"/>
      <c r="F53" s="254"/>
      <c r="G53" s="112"/>
      <c r="H53" s="112"/>
      <c r="I53" s="112"/>
      <c r="J53" s="263"/>
      <c r="K53" s="266" t="s">
        <v>246</v>
      </c>
      <c r="L53" s="267"/>
      <c r="M53" s="66"/>
      <c r="N53" s="205"/>
      <c r="Q53" s="206"/>
      <c r="R53" s="110"/>
    </row>
    <row r="54" ht="12.75" customHeight="1">
      <c r="A54" s="166"/>
      <c r="B54" s="167"/>
      <c r="C54" s="275"/>
      <c r="D54" s="276"/>
      <c r="E54" s="277"/>
      <c r="F54" s="278"/>
      <c r="G54" s="118"/>
      <c r="H54" s="118"/>
      <c r="I54" s="118"/>
      <c r="J54" s="279"/>
      <c r="K54" s="188" t="s">
        <v>247</v>
      </c>
      <c r="L54" s="180"/>
      <c r="M54" s="80"/>
      <c r="N54" s="280"/>
      <c r="O54" s="281"/>
      <c r="P54" s="281"/>
      <c r="Q54" s="282"/>
      <c r="R54" s="81"/>
    </row>
    <row r="55" ht="18.75" customHeight="1">
      <c r="A55" s="283" t="s">
        <v>248</v>
      </c>
      <c r="B55" s="315"/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285"/>
      <c r="Q55" s="285"/>
      <c r="R55" s="286"/>
    </row>
    <row r="56" ht="18.75" customHeight="1">
      <c r="A56" s="287"/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8"/>
      <c r="P56" s="288"/>
      <c r="Q56" s="288"/>
      <c r="R56" s="289"/>
    </row>
  </sheetData>
  <mergeCells count="126">
    <mergeCell ref="C6:J6"/>
    <mergeCell ref="C8:J13"/>
    <mergeCell ref="D1:G1"/>
    <mergeCell ref="J1:J2"/>
    <mergeCell ref="K1:K2"/>
    <mergeCell ref="L1:L2"/>
    <mergeCell ref="H2:I2"/>
    <mergeCell ref="C7:J7"/>
    <mergeCell ref="A6:B6"/>
    <mergeCell ref="A7:B8"/>
    <mergeCell ref="A9:B13"/>
    <mergeCell ref="A14:B14"/>
    <mergeCell ref="A15:B15"/>
    <mergeCell ref="B5:Q5"/>
    <mergeCell ref="K6:Q6"/>
    <mergeCell ref="K14:R14"/>
    <mergeCell ref="I14:J14"/>
    <mergeCell ref="M1:Q2"/>
    <mergeCell ref="K7:R7"/>
    <mergeCell ref="P8:Q8"/>
    <mergeCell ref="I17:I18"/>
    <mergeCell ref="J17:J18"/>
    <mergeCell ref="I19:I20"/>
    <mergeCell ref="J19:J20"/>
    <mergeCell ref="A19:B19"/>
    <mergeCell ref="F20:H20"/>
    <mergeCell ref="F21:G21"/>
    <mergeCell ref="K21:R21"/>
    <mergeCell ref="F22:G22"/>
    <mergeCell ref="F23:G23"/>
    <mergeCell ref="A23:B23"/>
    <mergeCell ref="C24:E24"/>
    <mergeCell ref="B4:Q4"/>
    <mergeCell ref="B3:Q3"/>
    <mergeCell ref="R8:R13"/>
    <mergeCell ref="R4:R5"/>
    <mergeCell ref="R22:R27"/>
    <mergeCell ref="C14:E14"/>
    <mergeCell ref="F14:H14"/>
    <mergeCell ref="C15:D15"/>
    <mergeCell ref="I15:I16"/>
    <mergeCell ref="J15:J16"/>
    <mergeCell ref="I21:J21"/>
    <mergeCell ref="I22:J23"/>
    <mergeCell ref="L49:N49"/>
    <mergeCell ref="M42:N42"/>
    <mergeCell ref="M43:N43"/>
    <mergeCell ref="M44:N44"/>
    <mergeCell ref="M45:N45"/>
    <mergeCell ref="M46:N46"/>
    <mergeCell ref="M47:N47"/>
    <mergeCell ref="P18:Q18"/>
    <mergeCell ref="P19:Q19"/>
    <mergeCell ref="L54:M54"/>
    <mergeCell ref="N50:O50"/>
    <mergeCell ref="P50:Q50"/>
    <mergeCell ref="N51:Q54"/>
    <mergeCell ref="L34:M34"/>
    <mergeCell ref="P49:Q49"/>
    <mergeCell ref="P16:Q16"/>
    <mergeCell ref="P17:Q17"/>
    <mergeCell ref="R15:R20"/>
    <mergeCell ref="R29:R34"/>
    <mergeCell ref="R42:R47"/>
    <mergeCell ref="R49:R54"/>
    <mergeCell ref="P13:Q13"/>
    <mergeCell ref="P9:Q9"/>
    <mergeCell ref="P10:Q10"/>
    <mergeCell ref="P11:Q11"/>
    <mergeCell ref="P12:Q12"/>
    <mergeCell ref="P15:Q15"/>
    <mergeCell ref="P20:Q20"/>
    <mergeCell ref="L50:M50"/>
    <mergeCell ref="L51:M51"/>
    <mergeCell ref="L53:M53"/>
    <mergeCell ref="L52:M52"/>
    <mergeCell ref="L31:M31"/>
    <mergeCell ref="N31:O31"/>
    <mergeCell ref="L32:M32"/>
    <mergeCell ref="L33:M33"/>
    <mergeCell ref="H36:J36"/>
    <mergeCell ref="L36:M36"/>
    <mergeCell ref="H41:J41"/>
    <mergeCell ref="H42:J42"/>
    <mergeCell ref="K42:L42"/>
    <mergeCell ref="R36:R40"/>
    <mergeCell ref="N36:Q40"/>
    <mergeCell ref="K41:R41"/>
    <mergeCell ref="H40:J40"/>
    <mergeCell ref="C43:E43"/>
    <mergeCell ref="F43:J43"/>
    <mergeCell ref="K43:L43"/>
    <mergeCell ref="K44:L44"/>
    <mergeCell ref="K45:L45"/>
    <mergeCell ref="K46:L46"/>
    <mergeCell ref="K48:R48"/>
    <mergeCell ref="A55:A56"/>
    <mergeCell ref="B55:R56"/>
    <mergeCell ref="L39:M39"/>
    <mergeCell ref="L40:M40"/>
    <mergeCell ref="A37:B54"/>
    <mergeCell ref="H37:J37"/>
    <mergeCell ref="H38:J38"/>
    <mergeCell ref="H39:J39"/>
    <mergeCell ref="K47:L47"/>
    <mergeCell ref="H28:J28"/>
    <mergeCell ref="K28:R28"/>
    <mergeCell ref="H27:J27"/>
    <mergeCell ref="H29:J29"/>
    <mergeCell ref="L29:M29"/>
    <mergeCell ref="H30:J30"/>
    <mergeCell ref="M30:N30"/>
    <mergeCell ref="H31:J31"/>
    <mergeCell ref="K35:R35"/>
    <mergeCell ref="N32:Q34"/>
    <mergeCell ref="L37:M37"/>
    <mergeCell ref="L38:M38"/>
    <mergeCell ref="H33:J33"/>
    <mergeCell ref="H34:J34"/>
    <mergeCell ref="F24:J24"/>
    <mergeCell ref="H25:J25"/>
    <mergeCell ref="H26:J26"/>
    <mergeCell ref="F35:J35"/>
    <mergeCell ref="A36:B36"/>
    <mergeCell ref="A29:B29"/>
    <mergeCell ref="H32:J32"/>
  </mergeCells>
  <conditionalFormatting sqref="E20">
    <cfRule type="cellIs" dxfId="8" priority="1" operator="greaterThanOrEqual">
      <formula>37.8</formula>
    </cfRule>
  </conditionalFormatting>
  <conditionalFormatting sqref="D17 E17:E18">
    <cfRule type="cellIs" dxfId="4" priority="2" operator="between">
      <formula>60</formula>
      <formula>100</formula>
    </cfRule>
  </conditionalFormatting>
  <conditionalFormatting sqref="D17:E17">
    <cfRule type="cellIs" dxfId="5" priority="3" operator="notBetween">
      <formula>60</formula>
      <formula>90</formula>
    </cfRule>
  </conditionalFormatting>
  <conditionalFormatting sqref="D18">
    <cfRule type="cellIs" dxfId="4" priority="4" operator="between">
      <formula>60</formula>
      <formula>100</formula>
    </cfRule>
  </conditionalFormatting>
  <conditionalFormatting sqref="D18">
    <cfRule type="cellIs" dxfId="5" priority="5" operator="notBetween">
      <formula>60</formula>
      <formula>100</formula>
    </cfRule>
  </conditionalFormatting>
  <conditionalFormatting sqref="E18">
    <cfRule type="cellIs" dxfId="4" priority="6" operator="between">
      <formula>60</formula>
      <formula>100</formula>
    </cfRule>
  </conditionalFormatting>
  <conditionalFormatting sqref="E18">
    <cfRule type="cellIs" dxfId="6" priority="7" operator="notBetween">
      <formula>60</formula>
      <formula>100</formula>
    </cfRule>
  </conditionalFormatting>
  <conditionalFormatting sqref="D19:E19">
    <cfRule type="cellIs" dxfId="4" priority="8" operator="between">
      <formula>12</formula>
      <formula>20</formula>
    </cfRule>
  </conditionalFormatting>
  <conditionalFormatting sqref="D19:E19">
    <cfRule type="cellIs" dxfId="5" priority="9" operator="notBetween">
      <formula>12</formula>
      <formula>20</formula>
    </cfRule>
  </conditionalFormatting>
  <conditionalFormatting sqref="D20:E20">
    <cfRule type="cellIs" dxfId="4" priority="10" operator="between">
      <formula>35</formula>
      <formula>37.7</formula>
    </cfRule>
  </conditionalFormatting>
  <conditionalFormatting sqref="D20:E20">
    <cfRule type="cellIs" dxfId="5" priority="11" operator="notBetween">
      <formula>35</formula>
      <formula>37.7</formula>
    </cfRule>
  </conditionalFormatting>
  <conditionalFormatting sqref="D21:E21">
    <cfRule type="cellIs" dxfId="4" priority="12" operator="between">
      <formula>92</formula>
      <formula>100</formula>
    </cfRule>
  </conditionalFormatting>
  <conditionalFormatting sqref="D21:E21">
    <cfRule type="cellIs" dxfId="5" priority="13" operator="notBetween">
      <formula>92</formula>
      <formula>100</formula>
    </cfRule>
  </conditionalFormatting>
  <conditionalFormatting sqref="D20:E23">
    <cfRule type="cellIs" dxfId="4" priority="14" operator="between">
      <formula>80</formula>
      <formula>180</formula>
    </cfRule>
  </conditionalFormatting>
  <conditionalFormatting sqref="D20:E23">
    <cfRule type="cellIs" dxfId="5" priority="15" operator="notBetween">
      <formula>80</formula>
      <formula>180</formula>
    </cfRule>
  </conditionalFormatting>
  <conditionalFormatting sqref="H2">
    <cfRule type="cellIs" dxfId="0" priority="16" operator="lessThanOrEqual">
      <formula>1</formula>
    </cfRule>
  </conditionalFormatting>
  <conditionalFormatting sqref="P16:Q16 D47:E47">
    <cfRule type="cellIs" dxfId="1" priority="17" operator="between">
      <formula>60</formula>
      <formula>100</formula>
    </cfRule>
  </conditionalFormatting>
  <conditionalFormatting sqref="P16:Q16">
    <cfRule type="cellIs" dxfId="2" priority="18" operator="notBetween">
      <formula>60</formula>
      <formula>100</formula>
    </cfRule>
  </conditionalFormatting>
  <conditionalFormatting sqref="P15:Q15">
    <cfRule type="cellIs" dxfId="1" priority="19" operator="between">
      <formula>60</formula>
      <formula>100</formula>
    </cfRule>
  </conditionalFormatting>
  <conditionalFormatting sqref="P15:Q15 D47:E47">
    <cfRule type="cellIs" dxfId="3" priority="20" operator="notBetween">
      <formula>60</formula>
      <formula>100</formula>
    </cfRule>
  </conditionalFormatting>
  <conditionalFormatting sqref="P17:Q17">
    <cfRule type="cellIs" dxfId="1" priority="21" operator="between">
      <formula>1</formula>
      <formula>3</formula>
    </cfRule>
  </conditionalFormatting>
  <conditionalFormatting sqref="P17:Q17">
    <cfRule type="cellIs" dxfId="3" priority="22" operator="notBetween">
      <formula>1</formula>
      <formula>3</formula>
    </cfRule>
  </conditionalFormatting>
  <conditionalFormatting sqref="D19:E19 N23">
    <cfRule type="cellIs" dxfId="1" priority="23" operator="between">
      <formula>12</formula>
      <formula>20</formula>
    </cfRule>
  </conditionalFormatting>
  <conditionalFormatting sqref="N23">
    <cfRule type="cellIs" dxfId="3" priority="24" operator="notBetween">
      <formula>12</formula>
      <formula>20</formula>
    </cfRule>
  </conditionalFormatting>
  <conditionalFormatting sqref="N24">
    <cfRule type="cellIs" dxfId="1" priority="25" operator="between">
      <formula>21</formula>
      <formula>45</formula>
    </cfRule>
  </conditionalFormatting>
  <conditionalFormatting sqref="N24">
    <cfRule type="cellIs" dxfId="3" priority="26" operator="notBetween">
      <formula>21</formula>
      <formula>45</formula>
    </cfRule>
  </conditionalFormatting>
  <conditionalFormatting sqref="N25">
    <cfRule type="cellIs" dxfId="1" priority="27" operator="between">
      <formula>3</formula>
      <formula>10</formula>
    </cfRule>
  </conditionalFormatting>
  <conditionalFormatting sqref="N25">
    <cfRule type="cellIs" dxfId="3" priority="28" operator="notBetween">
      <formula>3</formula>
      <formula>10</formula>
    </cfRule>
  </conditionalFormatting>
  <conditionalFormatting sqref="L25:L27">
    <cfRule type="cellIs" dxfId="1" priority="29" operator="between">
      <formula>20</formula>
      <formula>35</formula>
    </cfRule>
  </conditionalFormatting>
  <conditionalFormatting sqref="L25:L27">
    <cfRule type="cellIs" dxfId="3" priority="30" operator="notBetween">
      <formula>20</formula>
      <formula>35</formula>
    </cfRule>
  </conditionalFormatting>
  <conditionalFormatting sqref="D17:E17">
    <cfRule type="cellIs" dxfId="1" priority="31" operator="between">
      <formula>60</formula>
      <formula>100</formula>
    </cfRule>
  </conditionalFormatting>
  <conditionalFormatting sqref="D17:E17">
    <cfRule type="cellIs" dxfId="8" priority="32" operator="notBetween">
      <formula>60</formula>
      <formula>90</formula>
    </cfRule>
  </conditionalFormatting>
  <conditionalFormatting sqref="D18">
    <cfRule type="cellIs" dxfId="1" priority="33" operator="between">
      <formula>60</formula>
      <formula>100</formula>
    </cfRule>
  </conditionalFormatting>
  <conditionalFormatting sqref="D18">
    <cfRule type="cellIs" dxfId="8" priority="34" operator="notBetween">
      <formula>60</formula>
      <formula>100</formula>
    </cfRule>
  </conditionalFormatting>
  <conditionalFormatting sqref="E18">
    <cfRule type="cellIs" dxfId="1" priority="35" operator="between">
      <formula>60</formula>
      <formula>100</formula>
    </cfRule>
  </conditionalFormatting>
  <conditionalFormatting sqref="E18">
    <cfRule type="cellIs" dxfId="3" priority="36" operator="notBetween">
      <formula>60</formula>
      <formula>100</formula>
    </cfRule>
  </conditionalFormatting>
  <conditionalFormatting sqref="D19:E19">
    <cfRule type="cellIs" dxfId="1" priority="37" operator="between">
      <formula>12</formula>
      <formula>20</formula>
    </cfRule>
  </conditionalFormatting>
  <conditionalFormatting sqref="D19:E19">
    <cfRule type="cellIs" dxfId="8" priority="38" operator="notBetween">
      <formula>12</formula>
      <formula>20</formula>
    </cfRule>
  </conditionalFormatting>
  <conditionalFormatting sqref="D20:E20">
    <cfRule type="cellIs" dxfId="1" priority="39" operator="between">
      <formula>35</formula>
      <formula>37.7</formula>
    </cfRule>
  </conditionalFormatting>
  <conditionalFormatting sqref="D20:E20">
    <cfRule type="cellIs" dxfId="8" priority="40" operator="notBetween">
      <formula>35</formula>
      <formula>37.7</formula>
    </cfRule>
  </conditionalFormatting>
  <conditionalFormatting sqref="D21:E21 D50:E50">
    <cfRule type="cellIs" dxfId="1" priority="41" operator="between">
      <formula>92</formula>
      <formula>100</formula>
    </cfRule>
  </conditionalFormatting>
  <conditionalFormatting sqref="D21:E21">
    <cfRule type="cellIs" dxfId="8" priority="42" operator="notBetween">
      <formula>92</formula>
      <formula>100</formula>
    </cfRule>
  </conditionalFormatting>
  <conditionalFormatting sqref="D21:E23">
    <cfRule type="cellIs" dxfId="1" priority="43" operator="between">
      <formula>80</formula>
      <formula>180</formula>
    </cfRule>
  </conditionalFormatting>
  <conditionalFormatting sqref="D21:E23">
    <cfRule type="cellIs" dxfId="8" priority="44" operator="notBetween">
      <formula>80</formula>
      <formula>180</formula>
    </cfRule>
  </conditionalFormatting>
  <conditionalFormatting sqref="J15:J16">
    <cfRule type="cellIs" dxfId="1" priority="45" operator="between">
      <formula>500</formula>
      <formula>2500</formula>
    </cfRule>
  </conditionalFormatting>
  <conditionalFormatting sqref="J15:J16">
    <cfRule type="cellIs" dxfId="3" priority="46" operator="notBetween">
      <formula>500</formula>
      <formula>2500</formula>
    </cfRule>
  </conditionalFormatting>
  <conditionalFormatting sqref="D26:E26">
    <cfRule type="cellIs" dxfId="1" priority="47" operator="between">
      <formula>7</formula>
      <formula>16</formula>
    </cfRule>
  </conditionalFormatting>
  <conditionalFormatting sqref="D26:E26">
    <cfRule type="cellIs" dxfId="3" priority="48" operator="notBetween">
      <formula>7</formula>
      <formula>16</formula>
    </cfRule>
  </conditionalFormatting>
  <conditionalFormatting sqref="D28:E28">
    <cfRule type="cellIs" dxfId="1" priority="49" operator="between">
      <formula>4000</formula>
      <formula>12000</formula>
    </cfRule>
  </conditionalFormatting>
  <conditionalFormatting sqref="D28:E28">
    <cfRule type="cellIs" dxfId="3" priority="50" operator="notBetween">
      <formula>4000</formula>
      <formula>12000</formula>
    </cfRule>
  </conditionalFormatting>
  <conditionalFormatting sqref="D29:D30 E29">
    <cfRule type="cellIs" dxfId="1" priority="51" operator="between">
      <formula>150000</formula>
      <formula>500000</formula>
    </cfRule>
  </conditionalFormatting>
  <conditionalFormatting sqref="D29:D30 E29">
    <cfRule type="cellIs" dxfId="3" priority="52" operator="notBetween">
      <formula>150000</formula>
      <formula>500000</formula>
    </cfRule>
  </conditionalFormatting>
  <conditionalFormatting sqref="D31:D32 E31">
    <cfRule type="cellIs" dxfId="1" priority="53" operator="between">
      <formula>10</formula>
      <formula>45</formula>
    </cfRule>
  </conditionalFormatting>
  <conditionalFormatting sqref="D31:D32 E31">
    <cfRule type="cellIs" dxfId="3" priority="54" operator="notBetween">
      <formula>10</formula>
      <formula>45</formula>
    </cfRule>
  </conditionalFormatting>
  <conditionalFormatting sqref="D32:D33 E32">
    <cfRule type="cellIs" dxfId="1" priority="55" operator="between">
      <formula>0.5</formula>
      <formula>1.4</formula>
    </cfRule>
  </conditionalFormatting>
  <conditionalFormatting sqref="D32:D33 E32">
    <cfRule type="cellIs" dxfId="3" priority="56" operator="notBetween">
      <formula>0.5</formula>
      <formula>1.4</formula>
    </cfRule>
  </conditionalFormatting>
  <conditionalFormatting sqref="D33:D34 E33">
    <cfRule type="cellIs" dxfId="1" priority="57" operator="between">
      <formula>135</formula>
      <formula>145</formula>
    </cfRule>
  </conditionalFormatting>
  <conditionalFormatting sqref="D33:D34 E33">
    <cfRule type="cellIs" dxfId="3" priority="58" operator="notBetween">
      <formula>135</formula>
      <formula>145</formula>
    </cfRule>
  </conditionalFormatting>
  <conditionalFormatting sqref="D34:D35 E34">
    <cfRule type="cellIs" dxfId="1" priority="59" operator="between">
      <formula>3.5</formula>
      <formula>5.5</formula>
    </cfRule>
  </conditionalFormatting>
  <conditionalFormatting sqref="D34:D35 E34">
    <cfRule type="cellIs" dxfId="3" priority="60" operator="notBetween">
      <formula>3.5</formula>
      <formula>5.5</formula>
    </cfRule>
  </conditionalFormatting>
  <conditionalFormatting sqref="D38:E38">
    <cfRule type="cellIs" dxfId="1" priority="61" operator="between">
      <formula>0</formula>
      <formula>0.1</formula>
    </cfRule>
  </conditionalFormatting>
  <conditionalFormatting sqref="D38:E38">
    <cfRule type="cellIs" dxfId="3" priority="62" operator="notBetween">
      <formula>0</formula>
      <formula>0.1</formula>
    </cfRule>
  </conditionalFormatting>
  <conditionalFormatting sqref="D45:E45">
    <cfRule type="cellIs" dxfId="1" priority="63" operator="between">
      <formula>7.35</formula>
      <formula>7.45</formula>
    </cfRule>
  </conditionalFormatting>
  <conditionalFormatting sqref="D45:E45">
    <cfRule type="cellIs" dxfId="3" priority="64" operator="notBetween">
      <formula>7.35</formula>
      <formula>7.45</formula>
    </cfRule>
  </conditionalFormatting>
  <conditionalFormatting sqref="D46:E46">
    <cfRule type="cellIs" dxfId="1" priority="65" operator="between">
      <formula>35</formula>
      <formula>45</formula>
    </cfRule>
  </conditionalFormatting>
  <conditionalFormatting sqref="D46:E46">
    <cfRule type="cellIs" dxfId="3" priority="66" operator="notBetween">
      <formula>35</formula>
      <formula>45</formula>
    </cfRule>
  </conditionalFormatting>
  <conditionalFormatting sqref="D47 E48">
    <cfRule type="cellIs" dxfId="1" priority="67" operator="between">
      <formula>60</formula>
      <formula>100</formula>
    </cfRule>
  </conditionalFormatting>
  <conditionalFormatting sqref="D47 E48">
    <cfRule type="cellIs" dxfId="3" priority="68" operator="notBetween">
      <formula>60</formula>
      <formula>100</formula>
    </cfRule>
  </conditionalFormatting>
  <conditionalFormatting sqref="D48:E48">
    <cfRule type="cellIs" dxfId="1" priority="69" operator="between">
      <formula>18</formula>
      <formula>30</formula>
    </cfRule>
  </conditionalFormatting>
  <conditionalFormatting sqref="D48:E48">
    <cfRule type="cellIs" dxfId="3" priority="70" operator="notBetween">
      <formula>18</formula>
      <formula>30</formula>
    </cfRule>
  </conditionalFormatting>
  <conditionalFormatting sqref="D49:E49">
    <cfRule type="cellIs" dxfId="1" priority="71" operator="between">
      <formula>-2</formula>
      <formula>2</formula>
    </cfRule>
  </conditionalFormatting>
  <conditionalFormatting sqref="D49:E49">
    <cfRule type="cellIs" dxfId="3" priority="72" operator="notBetween">
      <formula>-2</formula>
      <formula>2</formula>
    </cfRule>
  </conditionalFormatting>
  <conditionalFormatting sqref="D50:E50">
    <cfRule type="cellIs" dxfId="1" priority="73" operator="between">
      <formula>92</formula>
      <formula>100</formula>
    </cfRule>
  </conditionalFormatting>
  <conditionalFormatting sqref="D50:E50">
    <cfRule type="cellIs" dxfId="3" priority="74" operator="notBetween">
      <formula>92</formula>
      <formula>100</formula>
    </cfRule>
  </conditionalFormatting>
  <conditionalFormatting sqref="D51:E51">
    <cfRule type="cellIs" dxfId="1" priority="75" operator="between">
      <formula>400</formula>
      <formula>600</formula>
    </cfRule>
  </conditionalFormatting>
  <conditionalFormatting sqref="D51:E51">
    <cfRule type="cellIs" dxfId="3" priority="76" operator="notBetween">
      <formula>400</formula>
      <formula>600</formula>
    </cfRule>
  </conditionalFormatting>
  <conditionalFormatting sqref="B35">
    <cfRule type="cellIs" dxfId="1" priority="77" operator="between">
      <formula>0</formula>
      <formula>20</formula>
    </cfRule>
  </conditionalFormatting>
  <conditionalFormatting sqref="B35">
    <cfRule type="cellIs" dxfId="7" priority="78" operator="between">
      <formula>20</formula>
      <formula>50</formula>
    </cfRule>
  </conditionalFormatting>
  <conditionalFormatting sqref="B35">
    <cfRule type="cellIs" dxfId="8" priority="79" operator="between">
      <formula>50</formula>
      <formula>100</formula>
    </cfRule>
  </conditionalFormatting>
  <conditionalFormatting sqref="P8:Q8">
    <cfRule type="cellIs" dxfId="1" priority="80" operator="between">
      <formula>13</formula>
      <formula>15</formula>
    </cfRule>
  </conditionalFormatting>
  <conditionalFormatting sqref="P8:Q8">
    <cfRule type="cellIs" dxfId="3" priority="81" operator="notBetween">
      <formula>13</formula>
      <formula>15</formula>
    </cfRule>
  </conditionalFormatting>
  <conditionalFormatting sqref="P9:Q9">
    <cfRule type="cellIs" dxfId="1" priority="82" operator="between">
      <formula>0</formula>
      <formula>-2</formula>
    </cfRule>
  </conditionalFormatting>
  <conditionalFormatting sqref="P9:Q9">
    <cfRule type="cellIs" dxfId="3" priority="83" operator="notBetween">
      <formula>0</formula>
      <formula>-2</formula>
    </cfRule>
  </conditionalFormatting>
  <conditionalFormatting sqref="L49:N49">
    <cfRule type="notContainsBlanks" dxfId="3" priority="84">
      <formula>LEN(TRIM(L49))&gt;0</formula>
    </cfRule>
  </conditionalFormatting>
  <conditionalFormatting sqref="B33">
    <cfRule type="cellIs" dxfId="8" priority="85" operator="lessThan">
      <formula>40</formula>
    </cfRule>
  </conditionalFormatting>
  <conditionalFormatting sqref="B33">
    <cfRule type="cellIs" dxfId="9" priority="86" operator="between">
      <formula>40</formula>
      <formula>60</formula>
    </cfRule>
  </conditionalFormatting>
  <conditionalFormatting sqref="B33">
    <cfRule type="cellIs" dxfId="1" priority="87" operator="greaterThan">
      <formula>60</formula>
    </cfRule>
  </conditionalFormatting>
  <conditionalFormatting sqref="K1:K2">
    <cfRule type="notContainsBlanks" dxfId="8" priority="88">
      <formula>LEN(TRIM(K1))&gt;0</formula>
    </cfRule>
  </conditionalFormatting>
  <dataValidations>
    <dataValidation type="list" allowBlank="1" showErrorMessage="1" sqref="K9">
      <formula1>"MIDAZOLAM 2X,MIDAZOLAM 5X,FENTANIL 2X, FENTANIL 5X,TRIDIL 1X,DOBUTA 4X,PROPOFOL 5X,CETAMINA 2X,PRECEDEX 2X,ROCURONIO 5X"</formula1>
    </dataValidation>
    <dataValidation type="list" allowBlank="1" showErrorMessage="1" sqref="P20 L37 L39">
      <formula1>"SIM,NÃO"</formula1>
    </dataValidation>
    <dataValidation type="list" allowBlank="1" showErrorMessage="1" sqref="L29">
      <formula1>"JEJUM,GERAL,BRANDA,PASTOSA,LEVE,LIQ.C/RESÍDUO,LIQ.S/RESÍDUO,LIQ.FRIA,ÁGUA,CHÁ,GELATINA,DIBEN,HP ENERGI,ENERGI,DIAMAX"</formula1>
    </dataValidation>
    <dataValidation type="list" allowBlank="1" showErrorMessage="1" sqref="P49">
      <formula1>"N/A,I,II,III,IV,INCLASSIFICÁVEL"</formula1>
    </dataValidation>
    <dataValidation type="list" allowBlank="1" showErrorMessage="1" sqref="K16:K20">
      <formula1>"NORADRENALINA 4X,NORADRENALINA 8X,VASOPRESSINA 2X,NIPRID 1X, TRIDIL 1X,DOBUTAMINA 4X,DOPAMINA 5X,NIPRIDE X2"</formula1>
    </dataValidation>
    <dataValidation type="list" allowBlank="1" showErrorMessage="1" sqref="L22">
      <formula1>"TOT,TQT,VNI,CNO2,MNR,VENTURI,AA"</formula1>
    </dataValidation>
    <dataValidation type="list" allowBlank="1" showErrorMessage="1" sqref="P11:P13 P18 L31:L34 L36">
      <formula1>"SIM,NÃO"</formula1>
    </dataValidation>
    <dataValidation type="list" allowBlank="1" showErrorMessage="1" sqref="L23">
      <formula1>"1ºdia,2ºdia,3ºdia,4ºdia,5ºdia"</formula1>
    </dataValidation>
    <dataValidation type="list" allowBlank="1" showErrorMessage="1" sqref="K10:K13">
      <formula1>"MIDAZOLAM,FENTANIL,PROPOFOL,CETAMINA,PRECEDEX,ROCURONIO"</formula1>
    </dataValidation>
    <dataValidation type="list" allowBlank="1" showErrorMessage="1" sqref="P19">
      <formula1>"SIM,NÃO,N/A"</formula1>
    </dataValidation>
    <dataValidation type="list" allowBlank="1" showErrorMessage="1" sqref="M42:M43 M45">
      <formula1>"SIM,NÃO,N/A"</formula1>
    </dataValidation>
    <dataValidation type="list" allowBlank="1" showErrorMessage="1" sqref="O29">
      <formula1>"N/A,ORAL,SNE,GTT,PARENTERAL"</formula1>
    </dataValidation>
    <dataValidation type="list" allowBlank="1" showErrorMessage="1" sqref="M47">
      <formula1>"SANGRAMENTO,AGUARDA CC,QUEDA HB,PLAQUETOPENIA"</formula1>
    </dataValidation>
    <dataValidation type="list" allowBlank="1" showErrorMessage="1" sqref="M44 M46 L51:L53">
      <formula1>"SIM,NÃO,N/A"</formula1>
    </dataValidation>
  </dataValidations>
  <printOptions gridLines="1" horizontalCentered="1"/>
  <pageMargins bottom="0.14871749934278886" footer="0.0" header="0.0" left="0.18589687417848605" right="0.18589687417848605" top="0.18589687417848605"/>
  <pageSetup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9.88"/>
    <col customWidth="1" min="3" max="3" width="10.38"/>
    <col customWidth="1" min="4" max="5" width="8.63"/>
    <col customWidth="1" min="6" max="7" width="8.38"/>
    <col customWidth="1" min="8" max="8" width="9.13"/>
    <col customWidth="1" min="9" max="9" width="9.5"/>
    <col customWidth="1" min="10" max="10" width="9.38"/>
    <col customWidth="1" min="11" max="11" width="19.5"/>
    <col customWidth="1" min="12" max="12" width="10.5"/>
    <col customWidth="1" min="13" max="14" width="7.0"/>
    <col customWidth="1" min="15" max="15" width="13.13"/>
    <col customWidth="1" min="16" max="16" width="6.0"/>
    <col customWidth="1" min="17" max="17" width="9.25"/>
    <col customWidth="1" min="18" max="18" width="25.63"/>
  </cols>
  <sheetData>
    <row r="1" ht="16.5" customHeight="1">
      <c r="A1" s="43" t="s">
        <v>360</v>
      </c>
      <c r="B1" s="328"/>
      <c r="C1" s="45" t="s">
        <v>25</v>
      </c>
      <c r="D1" s="329" t="s">
        <v>19</v>
      </c>
      <c r="E1" s="47"/>
      <c r="F1" s="47"/>
      <c r="G1" s="48"/>
      <c r="H1" s="49" t="s">
        <v>4</v>
      </c>
      <c r="I1" s="330">
        <v>76.0</v>
      </c>
      <c r="J1" s="345" t="s">
        <v>394</v>
      </c>
      <c r="K1" s="346" t="s">
        <v>351</v>
      </c>
      <c r="L1" s="53" t="s">
        <v>28</v>
      </c>
      <c r="M1" s="347" t="s">
        <v>395</v>
      </c>
      <c r="N1" s="55"/>
      <c r="O1" s="55"/>
      <c r="P1" s="55"/>
      <c r="Q1" s="56"/>
      <c r="R1" s="57" t="s">
        <v>30</v>
      </c>
    </row>
    <row r="2" ht="27.75" customHeight="1">
      <c r="A2" s="58" t="s">
        <v>31</v>
      </c>
      <c r="B2" s="332">
        <v>46006.0</v>
      </c>
      <c r="C2" s="60" t="s">
        <v>32</v>
      </c>
      <c r="D2" s="316">
        <v>46008.0</v>
      </c>
      <c r="E2" s="62" t="s">
        <v>33</v>
      </c>
      <c r="F2" s="348"/>
      <c r="G2" s="64" t="s">
        <v>34</v>
      </c>
      <c r="H2" s="349"/>
      <c r="I2" s="66"/>
      <c r="J2" s="67"/>
      <c r="K2" s="67"/>
      <c r="L2" s="67"/>
      <c r="M2" s="68"/>
      <c r="N2" s="69"/>
      <c r="O2" s="69"/>
      <c r="P2" s="69"/>
      <c r="Q2" s="70"/>
      <c r="R2" s="71">
        <v>7.0</v>
      </c>
    </row>
    <row r="3" ht="36.0" customHeight="1">
      <c r="A3" s="72" t="s">
        <v>35</v>
      </c>
      <c r="B3" s="334" t="s">
        <v>396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66"/>
      <c r="R3" s="75" t="s">
        <v>37</v>
      </c>
    </row>
    <row r="4" ht="30.75" customHeight="1">
      <c r="A4" s="72" t="s">
        <v>38</v>
      </c>
      <c r="B4" s="334" t="s">
        <v>397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66"/>
      <c r="R4" s="76">
        <f>TODAY()</f>
        <v>46009</v>
      </c>
    </row>
    <row r="5" ht="12.75" customHeight="1">
      <c r="A5" s="77" t="s">
        <v>40</v>
      </c>
      <c r="B5" s="335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80"/>
      <c r="R5" s="81"/>
    </row>
    <row r="6" ht="12.75" customHeight="1">
      <c r="A6" s="82" t="s">
        <v>42</v>
      </c>
      <c r="B6" s="83"/>
      <c r="C6" s="82" t="s">
        <v>43</v>
      </c>
      <c r="D6" s="84"/>
      <c r="E6" s="84"/>
      <c r="F6" s="84"/>
      <c r="G6" s="84"/>
      <c r="H6" s="84"/>
      <c r="I6" s="84"/>
      <c r="J6" s="83"/>
      <c r="K6" s="85" t="s">
        <v>44</v>
      </c>
      <c r="L6" s="55"/>
      <c r="M6" s="55"/>
      <c r="N6" s="55"/>
      <c r="O6" s="55"/>
      <c r="P6" s="55"/>
      <c r="Q6" s="56"/>
      <c r="R6" s="86" t="s">
        <v>45</v>
      </c>
    </row>
    <row r="7" ht="12.75" customHeight="1">
      <c r="A7" s="87" t="s">
        <v>46</v>
      </c>
      <c r="B7" s="88"/>
      <c r="C7" s="89" t="s">
        <v>47</v>
      </c>
      <c r="D7" s="69"/>
      <c r="E7" s="69"/>
      <c r="F7" s="69"/>
      <c r="G7" s="69"/>
      <c r="H7" s="69"/>
      <c r="I7" s="69"/>
      <c r="J7" s="90"/>
      <c r="K7" s="91" t="s">
        <v>48</v>
      </c>
      <c r="L7" s="92"/>
      <c r="M7" s="92"/>
      <c r="N7" s="92"/>
      <c r="O7" s="92"/>
      <c r="P7" s="92"/>
      <c r="Q7" s="92"/>
      <c r="R7" s="93"/>
    </row>
    <row r="8" ht="12.75" customHeight="1">
      <c r="A8" s="94"/>
      <c r="B8" s="90"/>
      <c r="C8" s="95" t="s">
        <v>398</v>
      </c>
      <c r="D8" s="79"/>
      <c r="E8" s="79"/>
      <c r="F8" s="79"/>
      <c r="G8" s="79"/>
      <c r="H8" s="79"/>
      <c r="I8" s="79"/>
      <c r="J8" s="96"/>
      <c r="K8" s="97" t="s">
        <v>50</v>
      </c>
      <c r="L8" s="98" t="s">
        <v>51</v>
      </c>
      <c r="M8" s="98" t="s">
        <v>52</v>
      </c>
      <c r="N8" s="99" t="s">
        <v>53</v>
      </c>
      <c r="O8" s="100" t="s">
        <v>54</v>
      </c>
      <c r="P8" s="101">
        <v>15.0</v>
      </c>
      <c r="Q8" s="70"/>
      <c r="R8" s="102"/>
    </row>
    <row r="9" ht="12.75" customHeight="1">
      <c r="A9" s="103" t="s">
        <v>399</v>
      </c>
      <c r="B9" s="96"/>
      <c r="J9" s="88"/>
      <c r="K9" s="104"/>
      <c r="L9" s="105"/>
      <c r="M9" s="105"/>
      <c r="N9" s="113"/>
      <c r="O9" s="108" t="s">
        <v>58</v>
      </c>
      <c r="P9" s="109"/>
      <c r="Q9" s="66"/>
      <c r="R9" s="110"/>
    </row>
    <row r="10" ht="12.75" customHeight="1">
      <c r="A10" s="111"/>
      <c r="B10" s="88"/>
      <c r="J10" s="88"/>
      <c r="K10" s="104"/>
      <c r="L10" s="112"/>
      <c r="M10" s="112"/>
      <c r="N10" s="113"/>
      <c r="O10" s="108" t="s">
        <v>59</v>
      </c>
      <c r="P10" s="109" t="s">
        <v>60</v>
      </c>
      <c r="Q10" s="66"/>
      <c r="R10" s="110"/>
    </row>
    <row r="11">
      <c r="A11" s="111"/>
      <c r="B11" s="88"/>
      <c r="J11" s="88"/>
      <c r="K11" s="104"/>
      <c r="L11" s="112"/>
      <c r="M11" s="112"/>
      <c r="N11" s="114"/>
      <c r="O11" s="115" t="s">
        <v>61</v>
      </c>
      <c r="P11" s="116"/>
      <c r="Q11" s="66"/>
      <c r="R11" s="110"/>
    </row>
    <row r="12">
      <c r="A12" s="111"/>
      <c r="B12" s="88"/>
      <c r="J12" s="88"/>
      <c r="K12" s="104"/>
      <c r="L12" s="112"/>
      <c r="M12" s="112"/>
      <c r="N12" s="113"/>
      <c r="O12" s="108" t="s">
        <v>63</v>
      </c>
      <c r="P12" s="116"/>
      <c r="Q12" s="66"/>
      <c r="R12" s="110"/>
    </row>
    <row r="13">
      <c r="A13" s="111"/>
      <c r="B13" s="88"/>
      <c r="C13" s="69"/>
      <c r="D13" s="69"/>
      <c r="E13" s="69"/>
      <c r="F13" s="69"/>
      <c r="G13" s="69"/>
      <c r="H13" s="69"/>
      <c r="I13" s="69"/>
      <c r="J13" s="90"/>
      <c r="K13" s="117"/>
      <c r="L13" s="118"/>
      <c r="M13" s="118"/>
      <c r="N13" s="119"/>
      <c r="O13" s="120" t="s">
        <v>64</v>
      </c>
      <c r="P13" s="121" t="s">
        <v>65</v>
      </c>
      <c r="Q13" s="80"/>
      <c r="R13" s="81"/>
    </row>
    <row r="14" ht="12.75" customHeight="1">
      <c r="A14" s="122" t="s">
        <v>66</v>
      </c>
      <c r="B14" s="123"/>
      <c r="C14" s="124" t="s">
        <v>67</v>
      </c>
      <c r="D14" s="47"/>
      <c r="E14" s="123"/>
      <c r="F14" s="124" t="s">
        <v>68</v>
      </c>
      <c r="G14" s="47"/>
      <c r="H14" s="123"/>
      <c r="I14" s="124" t="s">
        <v>69</v>
      </c>
      <c r="J14" s="123"/>
      <c r="K14" s="91" t="s">
        <v>70</v>
      </c>
      <c r="L14" s="92"/>
      <c r="M14" s="92"/>
      <c r="N14" s="92"/>
      <c r="O14" s="92"/>
      <c r="P14" s="92"/>
      <c r="Q14" s="92"/>
      <c r="R14" s="93"/>
    </row>
    <row r="15" ht="12.75" customHeight="1">
      <c r="A15" s="125" t="s">
        <v>71</v>
      </c>
      <c r="B15" s="126"/>
      <c r="C15" s="127" t="s">
        <v>72</v>
      </c>
      <c r="E15" s="128"/>
      <c r="F15" s="129" t="s">
        <v>37</v>
      </c>
      <c r="G15" s="130" t="s">
        <v>73</v>
      </c>
      <c r="H15" s="131" t="s">
        <v>74</v>
      </c>
      <c r="I15" s="132" t="s">
        <v>75</v>
      </c>
      <c r="J15" s="144">
        <v>800.0</v>
      </c>
      <c r="K15" s="97" t="s">
        <v>76</v>
      </c>
      <c r="L15" s="98" t="s">
        <v>51</v>
      </c>
      <c r="M15" s="98" t="s">
        <v>52</v>
      </c>
      <c r="N15" s="99" t="s">
        <v>53</v>
      </c>
      <c r="O15" s="134" t="s">
        <v>400</v>
      </c>
      <c r="P15" s="101">
        <v>84.0</v>
      </c>
      <c r="Q15" s="70"/>
      <c r="R15" s="102" t="s">
        <v>401</v>
      </c>
    </row>
    <row r="16" ht="12.75" customHeight="1">
      <c r="A16" s="135" t="s">
        <v>79</v>
      </c>
      <c r="B16" s="136" t="b">
        <v>0</v>
      </c>
      <c r="C16" s="137"/>
      <c r="D16" s="138" t="s">
        <v>80</v>
      </c>
      <c r="E16" s="138" t="s">
        <v>81</v>
      </c>
      <c r="F16" s="139"/>
      <c r="G16" s="112"/>
      <c r="H16" s="140"/>
      <c r="I16" s="141"/>
      <c r="J16" s="142"/>
      <c r="K16" s="104" t="s">
        <v>402</v>
      </c>
      <c r="L16" s="105">
        <v>15.0</v>
      </c>
      <c r="M16" s="336">
        <v>46008.0</v>
      </c>
      <c r="N16" s="113"/>
      <c r="O16" s="108" t="s">
        <v>83</v>
      </c>
      <c r="P16" s="109">
        <v>101.0</v>
      </c>
      <c r="Q16" s="66"/>
      <c r="R16" s="110"/>
    </row>
    <row r="17" ht="12.75" customHeight="1">
      <c r="A17" s="135" t="s">
        <v>84</v>
      </c>
      <c r="B17" s="136" t="b">
        <v>1</v>
      </c>
      <c r="C17" s="139" t="s">
        <v>85</v>
      </c>
      <c r="D17" s="143">
        <v>70.0</v>
      </c>
      <c r="E17" s="140">
        <v>90.0</v>
      </c>
      <c r="F17" s="139"/>
      <c r="G17" s="112"/>
      <c r="H17" s="140"/>
      <c r="I17" s="132" t="s">
        <v>86</v>
      </c>
      <c r="J17" s="144"/>
      <c r="K17" s="104"/>
      <c r="L17" s="105"/>
      <c r="M17" s="112"/>
      <c r="N17" s="113"/>
      <c r="O17" s="108" t="s">
        <v>89</v>
      </c>
      <c r="P17" s="109">
        <v>3.0</v>
      </c>
      <c r="Q17" s="66"/>
      <c r="R17" s="110"/>
    </row>
    <row r="18" ht="12.75" customHeight="1">
      <c r="A18" s="146" t="s">
        <v>90</v>
      </c>
      <c r="B18" s="147" t="b">
        <v>0</v>
      </c>
      <c r="C18" s="139" t="s">
        <v>83</v>
      </c>
      <c r="D18" s="112">
        <v>87.0</v>
      </c>
      <c r="E18" s="140">
        <v>117.0</v>
      </c>
      <c r="F18" s="139"/>
      <c r="G18" s="112"/>
      <c r="H18" s="140"/>
      <c r="I18" s="141"/>
      <c r="J18" s="142"/>
      <c r="K18" s="104"/>
      <c r="L18" s="105"/>
      <c r="M18" s="112"/>
      <c r="N18" s="148"/>
      <c r="O18" s="149" t="s">
        <v>91</v>
      </c>
      <c r="P18" s="116" t="s">
        <v>65</v>
      </c>
      <c r="Q18" s="66"/>
      <c r="R18" s="110"/>
    </row>
    <row r="19" ht="12.75" customHeight="1">
      <c r="A19" s="122" t="s">
        <v>93</v>
      </c>
      <c r="B19" s="123"/>
      <c r="C19" s="139" t="s">
        <v>94</v>
      </c>
      <c r="D19" s="112">
        <v>14.0</v>
      </c>
      <c r="E19" s="140">
        <v>18.0</v>
      </c>
      <c r="F19" s="139"/>
      <c r="G19" s="112"/>
      <c r="H19" s="140"/>
      <c r="I19" s="132" t="s">
        <v>95</v>
      </c>
      <c r="J19" s="150">
        <v>-1053.0</v>
      </c>
      <c r="K19" s="104"/>
      <c r="L19" s="105"/>
      <c r="M19" s="112"/>
      <c r="N19" s="148"/>
      <c r="O19" s="149" t="s">
        <v>96</v>
      </c>
      <c r="P19" s="116" t="s">
        <v>306</v>
      </c>
      <c r="Q19" s="66"/>
      <c r="R19" s="110"/>
    </row>
    <row r="20" ht="12.75" customHeight="1">
      <c r="A20" s="135" t="s">
        <v>97</v>
      </c>
      <c r="B20" s="136" t="b">
        <v>0</v>
      </c>
      <c r="C20" s="139" t="s">
        <v>98</v>
      </c>
      <c r="D20" s="151">
        <v>35.4</v>
      </c>
      <c r="E20" s="140" t="s">
        <v>403</v>
      </c>
      <c r="F20" s="152" t="s">
        <v>99</v>
      </c>
      <c r="G20" s="74"/>
      <c r="H20" s="126"/>
      <c r="I20" s="141"/>
      <c r="J20" s="142"/>
      <c r="K20" s="117"/>
      <c r="L20" s="153"/>
      <c r="M20" s="118"/>
      <c r="N20" s="119"/>
      <c r="O20" s="120" t="s">
        <v>100</v>
      </c>
      <c r="P20" s="121" t="s">
        <v>65</v>
      </c>
      <c r="Q20" s="80"/>
      <c r="R20" s="81"/>
    </row>
    <row r="21" ht="12.75" customHeight="1">
      <c r="A21" s="135" t="s">
        <v>101</v>
      </c>
      <c r="B21" s="136" t="b">
        <v>1</v>
      </c>
      <c r="C21" s="139" t="s">
        <v>102</v>
      </c>
      <c r="D21" s="112" t="s">
        <v>404</v>
      </c>
      <c r="E21" s="140" t="s">
        <v>404</v>
      </c>
      <c r="F21" s="154"/>
      <c r="G21" s="66"/>
      <c r="H21" s="140"/>
      <c r="I21" s="152" t="s">
        <v>104</v>
      </c>
      <c r="J21" s="126"/>
      <c r="K21" s="91" t="s">
        <v>105</v>
      </c>
      <c r="L21" s="92"/>
      <c r="M21" s="92"/>
      <c r="N21" s="92"/>
      <c r="O21" s="92"/>
      <c r="P21" s="92"/>
      <c r="Q21" s="92"/>
      <c r="R21" s="93"/>
    </row>
    <row r="22" ht="12.75" customHeight="1">
      <c r="A22" s="146" t="s">
        <v>106</v>
      </c>
      <c r="B22" s="147" t="b">
        <v>0</v>
      </c>
      <c r="C22" s="139" t="s">
        <v>107</v>
      </c>
      <c r="D22" s="112">
        <v>178.0</v>
      </c>
      <c r="E22" s="140">
        <v>334.0</v>
      </c>
      <c r="F22" s="154"/>
      <c r="G22" s="66"/>
      <c r="H22" s="140"/>
      <c r="I22" s="218" t="s">
        <v>405</v>
      </c>
      <c r="J22" s="96"/>
      <c r="K22" s="301" t="s">
        <v>108</v>
      </c>
      <c r="L22" s="350" t="s">
        <v>109</v>
      </c>
      <c r="M22" s="303" t="s">
        <v>110</v>
      </c>
      <c r="N22" s="304"/>
      <c r="O22" s="160" t="s">
        <v>111</v>
      </c>
      <c r="P22" s="157"/>
      <c r="Q22" s="161" t="s">
        <v>112</v>
      </c>
      <c r="R22" s="102" t="s">
        <v>406</v>
      </c>
    </row>
    <row r="23" ht="12.75" customHeight="1">
      <c r="A23" s="122" t="s">
        <v>114</v>
      </c>
      <c r="B23" s="123"/>
      <c r="C23" s="139" t="s">
        <v>107</v>
      </c>
      <c r="D23" s="162"/>
      <c r="E23" s="163"/>
      <c r="F23" s="164"/>
      <c r="G23" s="165"/>
      <c r="H23" s="163"/>
      <c r="I23" s="166"/>
      <c r="J23" s="167"/>
      <c r="K23" s="168" t="s">
        <v>115</v>
      </c>
      <c r="L23" s="169"/>
      <c r="M23" s="170" t="s">
        <v>94</v>
      </c>
      <c r="N23" s="169">
        <v>13.0</v>
      </c>
      <c r="O23" s="170" t="s">
        <v>116</v>
      </c>
      <c r="P23" s="169"/>
      <c r="Q23" s="171"/>
      <c r="R23" s="110"/>
    </row>
    <row r="24" ht="12.75" customHeight="1">
      <c r="A24" s="103"/>
      <c r="B24" s="96"/>
      <c r="C24" s="122" t="s">
        <v>118</v>
      </c>
      <c r="D24" s="47"/>
      <c r="E24" s="123"/>
      <c r="F24" s="172" t="s">
        <v>119</v>
      </c>
      <c r="G24" s="47"/>
      <c r="H24" s="47"/>
      <c r="I24" s="47"/>
      <c r="J24" s="123"/>
      <c r="K24" s="168" t="s">
        <v>120</v>
      </c>
      <c r="L24" s="169"/>
      <c r="M24" s="170" t="s">
        <v>121</v>
      </c>
      <c r="N24" s="169"/>
      <c r="O24" s="170" t="s">
        <v>122</v>
      </c>
      <c r="P24" s="169"/>
      <c r="Q24" s="173" t="s">
        <v>123</v>
      </c>
      <c r="R24" s="110"/>
    </row>
    <row r="25" ht="12.75" customHeight="1">
      <c r="A25" s="111"/>
      <c r="B25" s="88"/>
      <c r="C25" s="174"/>
      <c r="D25" s="175" t="s">
        <v>124</v>
      </c>
      <c r="E25" s="176" t="s">
        <v>125</v>
      </c>
      <c r="F25" s="177" t="s">
        <v>37</v>
      </c>
      <c r="G25" s="178" t="s">
        <v>126</v>
      </c>
      <c r="H25" s="179" t="s">
        <v>127</v>
      </c>
      <c r="I25" s="74"/>
      <c r="J25" s="126"/>
      <c r="K25" s="168" t="s">
        <v>128</v>
      </c>
      <c r="L25" s="169"/>
      <c r="M25" s="170" t="s">
        <v>129</v>
      </c>
      <c r="N25" s="169"/>
      <c r="O25" s="170" t="s">
        <v>130</v>
      </c>
      <c r="P25" s="169"/>
      <c r="Q25" s="171"/>
      <c r="R25" s="110"/>
    </row>
    <row r="26" ht="12.75" customHeight="1">
      <c r="A26" s="111"/>
      <c r="B26" s="88"/>
      <c r="C26" s="135" t="s">
        <v>132</v>
      </c>
      <c r="D26" s="225"/>
      <c r="E26" s="136"/>
      <c r="F26" s="339">
        <v>46008.0</v>
      </c>
      <c r="G26" s="182" t="s">
        <v>407</v>
      </c>
      <c r="H26" s="187"/>
      <c r="I26" s="74"/>
      <c r="J26" s="126"/>
      <c r="K26" s="168" t="s">
        <v>135</v>
      </c>
      <c r="L26" s="184"/>
      <c r="M26" s="170" t="s">
        <v>136</v>
      </c>
      <c r="N26" s="169"/>
      <c r="O26" s="170" t="s">
        <v>137</v>
      </c>
      <c r="P26" s="169"/>
      <c r="Q26" s="173" t="s">
        <v>138</v>
      </c>
      <c r="R26" s="110"/>
    </row>
    <row r="27" ht="17.25" customHeight="1">
      <c r="A27" s="111"/>
      <c r="B27" s="88"/>
      <c r="C27" s="135" t="s">
        <v>139</v>
      </c>
      <c r="D27" s="225"/>
      <c r="E27" s="136"/>
      <c r="F27" s="339">
        <v>46008.0</v>
      </c>
      <c r="G27" s="182" t="s">
        <v>408</v>
      </c>
      <c r="H27" s="187"/>
      <c r="I27" s="74"/>
      <c r="J27" s="126"/>
      <c r="K27" s="188" t="s">
        <v>140</v>
      </c>
      <c r="L27" s="189"/>
      <c r="M27" s="190" t="s">
        <v>141</v>
      </c>
      <c r="N27" s="189"/>
      <c r="O27" s="190" t="s">
        <v>142</v>
      </c>
      <c r="P27" s="189"/>
      <c r="Q27" s="180"/>
      <c r="R27" s="81"/>
    </row>
    <row r="28" ht="12.75" customHeight="1">
      <c r="A28" s="166"/>
      <c r="B28" s="167"/>
      <c r="C28" s="135" t="s">
        <v>143</v>
      </c>
      <c r="D28" s="225"/>
      <c r="E28" s="191">
        <v>24.0</v>
      </c>
      <c r="F28" s="185"/>
      <c r="G28" s="186"/>
      <c r="H28" s="187"/>
      <c r="I28" s="74"/>
      <c r="J28" s="126"/>
      <c r="K28" s="355" t="s">
        <v>144</v>
      </c>
      <c r="L28" s="55"/>
      <c r="M28" s="55"/>
      <c r="N28" s="55"/>
      <c r="O28" s="55"/>
      <c r="P28" s="55"/>
      <c r="Q28" s="55"/>
      <c r="R28" s="356"/>
    </row>
    <row r="29" ht="12.75" customHeight="1">
      <c r="A29" s="124" t="s">
        <v>145</v>
      </c>
      <c r="B29" s="123"/>
      <c r="C29" s="135" t="s">
        <v>146</v>
      </c>
      <c r="D29" s="219"/>
      <c r="E29" s="191"/>
      <c r="F29" s="185"/>
      <c r="G29" s="186"/>
      <c r="H29" s="187"/>
      <c r="I29" s="74"/>
      <c r="J29" s="126"/>
      <c r="K29" s="357" t="s">
        <v>5</v>
      </c>
      <c r="L29" s="358" t="s">
        <v>409</v>
      </c>
      <c r="M29" s="359"/>
      <c r="N29" s="360" t="s">
        <v>148</v>
      </c>
      <c r="O29" s="361" t="s">
        <v>368</v>
      </c>
      <c r="P29" s="362" t="s">
        <v>158</v>
      </c>
      <c r="Q29" s="363" t="s">
        <v>410</v>
      </c>
      <c r="R29" s="364" t="s">
        <v>411</v>
      </c>
    </row>
    <row r="30" ht="12.75" customHeight="1">
      <c r="A30" s="139" t="s">
        <v>151</v>
      </c>
      <c r="B30" s="140" t="s">
        <v>412</v>
      </c>
      <c r="C30" s="135" t="s">
        <v>153</v>
      </c>
      <c r="D30" s="225"/>
      <c r="E30" s="136">
        <v>55.0</v>
      </c>
      <c r="F30" s="185"/>
      <c r="G30" s="186"/>
      <c r="H30" s="187"/>
      <c r="I30" s="74"/>
      <c r="J30" s="126"/>
      <c r="K30" s="365" t="s">
        <v>154</v>
      </c>
      <c r="L30" s="366"/>
      <c r="M30" s="367" t="s">
        <v>156</v>
      </c>
      <c r="N30" s="368"/>
      <c r="O30" s="369"/>
      <c r="P30" s="370" t="s">
        <v>149</v>
      </c>
      <c r="Q30" s="371"/>
      <c r="R30" s="88"/>
    </row>
    <row r="31" ht="12.75" customHeight="1">
      <c r="A31" s="139" t="s">
        <v>160</v>
      </c>
      <c r="B31" s="140" t="s">
        <v>413</v>
      </c>
      <c r="C31" s="135" t="s">
        <v>162</v>
      </c>
      <c r="D31" s="225"/>
      <c r="E31" s="136">
        <v>49.0</v>
      </c>
      <c r="F31" s="139"/>
      <c r="G31" s="112"/>
      <c r="H31" s="187"/>
      <c r="I31" s="74"/>
      <c r="J31" s="126"/>
      <c r="K31" s="372" t="s">
        <v>163</v>
      </c>
      <c r="L31" s="373"/>
      <c r="M31" s="368"/>
      <c r="N31" s="374"/>
      <c r="O31" s="368"/>
      <c r="P31" s="375" t="s">
        <v>391</v>
      </c>
      <c r="Q31" s="376"/>
      <c r="R31" s="88"/>
    </row>
    <row r="32" ht="12.75" customHeight="1">
      <c r="A32" s="139" t="s">
        <v>165</v>
      </c>
      <c r="B32" s="140" t="s">
        <v>414</v>
      </c>
      <c r="C32" s="135" t="s">
        <v>167</v>
      </c>
      <c r="D32" s="219"/>
      <c r="E32" s="136"/>
      <c r="F32" s="139"/>
      <c r="G32" s="112"/>
      <c r="H32" s="187"/>
      <c r="I32" s="74"/>
      <c r="J32" s="126"/>
      <c r="K32" s="377" t="s">
        <v>168</v>
      </c>
      <c r="L32" s="378" t="s">
        <v>92</v>
      </c>
      <c r="M32" s="368"/>
      <c r="N32" s="379" t="s">
        <v>332</v>
      </c>
      <c r="O32" s="380"/>
      <c r="P32" s="380"/>
      <c r="Q32" s="381"/>
      <c r="R32" s="88"/>
    </row>
    <row r="33" ht="12.75" customHeight="1">
      <c r="A33" s="135" t="s">
        <v>169</v>
      </c>
      <c r="B33" s="136">
        <v>90.0</v>
      </c>
      <c r="C33" s="135" t="s">
        <v>170</v>
      </c>
      <c r="D33" s="219"/>
      <c r="E33" s="136">
        <v>132.0</v>
      </c>
      <c r="F33" s="139"/>
      <c r="G33" s="112"/>
      <c r="H33" s="187"/>
      <c r="I33" s="74"/>
      <c r="J33" s="126"/>
      <c r="K33" s="377" t="s">
        <v>171</v>
      </c>
      <c r="L33" s="378" t="s">
        <v>92</v>
      </c>
      <c r="M33" s="368"/>
      <c r="N33" s="382"/>
      <c r="Q33" s="383"/>
      <c r="R33" s="88"/>
    </row>
    <row r="34" ht="12.75" customHeight="1">
      <c r="A34" s="174" t="s">
        <v>172</v>
      </c>
      <c r="B34" s="136"/>
      <c r="C34" s="135" t="s">
        <v>173</v>
      </c>
      <c r="D34" s="219"/>
      <c r="E34" s="136"/>
      <c r="F34" s="207"/>
      <c r="G34" s="162"/>
      <c r="H34" s="208"/>
      <c r="I34" s="209"/>
      <c r="J34" s="210"/>
      <c r="K34" s="384" t="s">
        <v>174</v>
      </c>
      <c r="L34" s="385" t="s">
        <v>65</v>
      </c>
      <c r="M34" s="386"/>
      <c r="N34" s="387"/>
      <c r="O34" s="288"/>
      <c r="P34" s="288"/>
      <c r="Q34" s="289"/>
      <c r="R34" s="167"/>
    </row>
    <row r="35" ht="12.75" customHeight="1">
      <c r="A35" s="212" t="s">
        <v>175</v>
      </c>
      <c r="B35" s="147"/>
      <c r="C35" s="135" t="s">
        <v>176</v>
      </c>
      <c r="D35" s="225"/>
      <c r="E35" s="136">
        <v>7.2</v>
      </c>
      <c r="F35" s="124" t="s">
        <v>177</v>
      </c>
      <c r="G35" s="47"/>
      <c r="H35" s="47"/>
      <c r="I35" s="47"/>
      <c r="J35" s="123"/>
      <c r="K35" s="388" t="s">
        <v>178</v>
      </c>
      <c r="L35" s="281"/>
      <c r="M35" s="281"/>
      <c r="N35" s="281"/>
      <c r="O35" s="281"/>
      <c r="P35" s="281"/>
      <c r="Q35" s="281"/>
      <c r="R35" s="167"/>
    </row>
    <row r="36" ht="18.75" customHeight="1">
      <c r="A36" s="213" t="s">
        <v>179</v>
      </c>
      <c r="B36" s="123"/>
      <c r="C36" s="135" t="s">
        <v>180</v>
      </c>
      <c r="D36" s="219"/>
      <c r="E36" s="136"/>
      <c r="F36" s="129" t="s">
        <v>37</v>
      </c>
      <c r="G36" s="130" t="s">
        <v>126</v>
      </c>
      <c r="H36" s="214" t="s">
        <v>127</v>
      </c>
      <c r="I36" s="74"/>
      <c r="J36" s="126"/>
      <c r="K36" s="215" t="s">
        <v>181</v>
      </c>
      <c r="L36" s="216" t="s">
        <v>92</v>
      </c>
      <c r="M36" s="70"/>
      <c r="N36" s="217" t="s">
        <v>182</v>
      </c>
      <c r="Q36" s="206"/>
      <c r="R36" s="102"/>
    </row>
    <row r="37" ht="12.75" customHeight="1">
      <c r="A37" s="218" t="s">
        <v>415</v>
      </c>
      <c r="B37" s="96"/>
      <c r="C37" s="135" t="s">
        <v>185</v>
      </c>
      <c r="D37" s="219"/>
      <c r="E37" s="220"/>
      <c r="F37" s="139"/>
      <c r="G37" s="112"/>
      <c r="H37" s="116"/>
      <c r="I37" s="74"/>
      <c r="J37" s="126"/>
      <c r="K37" s="204" t="s">
        <v>188</v>
      </c>
      <c r="L37" s="116" t="s">
        <v>65</v>
      </c>
      <c r="M37" s="66"/>
      <c r="N37" s="205"/>
      <c r="Q37" s="206"/>
      <c r="R37" s="110"/>
    </row>
    <row r="38" ht="12.75" customHeight="1">
      <c r="A38" s="111"/>
      <c r="B38" s="88"/>
      <c r="C38" s="135" t="s">
        <v>189</v>
      </c>
      <c r="D38" s="219"/>
      <c r="E38" s="220"/>
      <c r="F38" s="139"/>
      <c r="G38" s="112"/>
      <c r="H38" s="116"/>
      <c r="I38" s="74"/>
      <c r="J38" s="126"/>
      <c r="K38" s="223" t="s">
        <v>190</v>
      </c>
      <c r="L38" s="116" t="str">
        <f>(J15/Q30)/E15</f>
        <v>#DIV/0!</v>
      </c>
      <c r="M38" s="66"/>
      <c r="N38" s="205"/>
      <c r="Q38" s="206"/>
      <c r="R38" s="110"/>
    </row>
    <row r="39" ht="12.75" customHeight="1">
      <c r="A39" s="111"/>
      <c r="B39" s="88"/>
      <c r="C39" s="135" t="s">
        <v>191</v>
      </c>
      <c r="D39" s="219"/>
      <c r="E39" s="220"/>
      <c r="F39" s="139"/>
      <c r="G39" s="112"/>
      <c r="H39" s="116"/>
      <c r="I39" s="74"/>
      <c r="J39" s="126"/>
      <c r="K39" s="204" t="s">
        <v>192</v>
      </c>
      <c r="L39" s="116" t="s">
        <v>92</v>
      </c>
      <c r="M39" s="66"/>
      <c r="N39" s="205"/>
      <c r="Q39" s="206"/>
      <c r="R39" s="110"/>
    </row>
    <row r="40" ht="12.75" customHeight="1">
      <c r="A40" s="111"/>
      <c r="B40" s="88"/>
      <c r="C40" s="135" t="s">
        <v>193</v>
      </c>
      <c r="D40" s="219"/>
      <c r="E40" s="220"/>
      <c r="F40" s="139"/>
      <c r="G40" s="112"/>
      <c r="H40" s="116"/>
      <c r="I40" s="74"/>
      <c r="J40" s="126"/>
      <c r="K40" s="211" t="s">
        <v>194</v>
      </c>
      <c r="L40" s="121"/>
      <c r="M40" s="80"/>
      <c r="N40" s="68"/>
      <c r="O40" s="69"/>
      <c r="P40" s="69"/>
      <c r="Q40" s="70"/>
      <c r="R40" s="81"/>
    </row>
    <row r="41" ht="12.75" customHeight="1">
      <c r="A41" s="111"/>
      <c r="B41" s="88"/>
      <c r="C41" s="135" t="s">
        <v>195</v>
      </c>
      <c r="D41" s="225"/>
      <c r="E41" s="220"/>
      <c r="F41" s="139"/>
      <c r="G41" s="112"/>
      <c r="H41" s="116"/>
      <c r="I41" s="74"/>
      <c r="J41" s="126"/>
      <c r="K41" s="91" t="s">
        <v>196</v>
      </c>
      <c r="L41" s="92"/>
      <c r="M41" s="92"/>
      <c r="N41" s="92"/>
      <c r="O41" s="92"/>
      <c r="P41" s="92"/>
      <c r="Q41" s="92"/>
      <c r="R41" s="93"/>
    </row>
    <row r="42" ht="12.75" customHeight="1">
      <c r="A42" s="111"/>
      <c r="B42" s="88"/>
      <c r="C42" s="310" t="s">
        <v>197</v>
      </c>
      <c r="D42" s="227"/>
      <c r="E42" s="228"/>
      <c r="F42" s="207"/>
      <c r="G42" s="162"/>
      <c r="H42" s="229"/>
      <c r="I42" s="209"/>
      <c r="J42" s="210"/>
      <c r="K42" s="230" t="s">
        <v>198</v>
      </c>
      <c r="L42" s="70"/>
      <c r="M42" s="231" t="s">
        <v>92</v>
      </c>
      <c r="N42" s="70"/>
      <c r="O42" s="232" t="s">
        <v>199</v>
      </c>
      <c r="P42" s="232" t="s">
        <v>200</v>
      </c>
      <c r="Q42" s="233" t="s">
        <v>53</v>
      </c>
      <c r="R42" s="102" t="s">
        <v>416</v>
      </c>
    </row>
    <row r="43" ht="19.5" customHeight="1">
      <c r="A43" s="111"/>
      <c r="B43" s="88"/>
      <c r="C43" s="234" t="s">
        <v>202</v>
      </c>
      <c r="D43" s="235"/>
      <c r="E43" s="236"/>
      <c r="F43" s="237" t="s">
        <v>203</v>
      </c>
      <c r="G43" s="47"/>
      <c r="H43" s="47"/>
      <c r="I43" s="47"/>
      <c r="J43" s="123"/>
      <c r="K43" s="238" t="s">
        <v>204</v>
      </c>
      <c r="L43" s="66"/>
      <c r="M43" s="239" t="s">
        <v>92</v>
      </c>
      <c r="N43" s="66"/>
      <c r="O43" s="240" t="s">
        <v>417</v>
      </c>
      <c r="P43" s="241">
        <v>46006.0</v>
      </c>
      <c r="Q43" s="242"/>
      <c r="R43" s="110"/>
    </row>
    <row r="44" ht="12.75" customHeight="1">
      <c r="A44" s="111"/>
      <c r="B44" s="88"/>
      <c r="C44" s="243" t="s">
        <v>296</v>
      </c>
      <c r="D44" s="244"/>
      <c r="E44" s="245">
        <v>0.91875</v>
      </c>
      <c r="F44" s="246" t="s">
        <v>126</v>
      </c>
      <c r="G44" s="247" t="s">
        <v>206</v>
      </c>
      <c r="H44" s="178" t="s">
        <v>207</v>
      </c>
      <c r="I44" s="178" t="s">
        <v>208</v>
      </c>
      <c r="J44" s="248" t="s">
        <v>209</v>
      </c>
      <c r="K44" s="238" t="s">
        <v>210</v>
      </c>
      <c r="L44" s="66"/>
      <c r="M44" s="239" t="s">
        <v>92</v>
      </c>
      <c r="N44" s="66"/>
      <c r="O44" s="249"/>
      <c r="P44" s="250"/>
      <c r="Q44" s="187"/>
      <c r="R44" s="110"/>
    </row>
    <row r="45" ht="12.75" customHeight="1">
      <c r="A45" s="111"/>
      <c r="B45" s="88"/>
      <c r="C45" s="243" t="s">
        <v>212</v>
      </c>
      <c r="D45" s="252"/>
      <c r="E45" s="253">
        <v>7.51</v>
      </c>
      <c r="F45" s="254" t="s">
        <v>418</v>
      </c>
      <c r="G45" s="112" t="s">
        <v>380</v>
      </c>
      <c r="H45" s="112"/>
      <c r="I45" s="145">
        <v>46007.0</v>
      </c>
      <c r="J45" s="140"/>
      <c r="K45" s="238" t="s">
        <v>215</v>
      </c>
      <c r="L45" s="66"/>
      <c r="M45" s="239" t="s">
        <v>92</v>
      </c>
      <c r="N45" s="66"/>
      <c r="O45" s="240"/>
      <c r="P45" s="256"/>
      <c r="Q45" s="258"/>
      <c r="R45" s="110"/>
    </row>
    <row r="46" ht="12.75" customHeight="1">
      <c r="A46" s="111"/>
      <c r="B46" s="88"/>
      <c r="C46" s="243" t="s">
        <v>217</v>
      </c>
      <c r="D46" s="252"/>
      <c r="E46" s="253">
        <v>37.0</v>
      </c>
      <c r="F46" s="254"/>
      <c r="G46" s="112"/>
      <c r="H46" s="112"/>
      <c r="I46" s="112"/>
      <c r="J46" s="140"/>
      <c r="K46" s="238" t="s">
        <v>220</v>
      </c>
      <c r="L46" s="66"/>
      <c r="M46" s="239" t="s">
        <v>65</v>
      </c>
      <c r="N46" s="66"/>
      <c r="O46" s="240"/>
      <c r="P46" s="240"/>
      <c r="Q46" s="258"/>
      <c r="R46" s="110"/>
    </row>
    <row r="47" ht="12.75" customHeight="1">
      <c r="A47" s="111"/>
      <c r="B47" s="88"/>
      <c r="C47" s="243" t="s">
        <v>222</v>
      </c>
      <c r="D47" s="252"/>
      <c r="E47" s="253">
        <v>132.0</v>
      </c>
      <c r="F47" s="270"/>
      <c r="G47" s="259"/>
      <c r="H47" s="259"/>
      <c r="I47" s="259"/>
      <c r="J47" s="140"/>
      <c r="K47" s="260" t="s">
        <v>225</v>
      </c>
      <c r="L47" s="80"/>
      <c r="M47" s="121"/>
      <c r="N47" s="80"/>
      <c r="O47" s="261"/>
      <c r="P47" s="261"/>
      <c r="Q47" s="262"/>
      <c r="R47" s="81"/>
    </row>
    <row r="48" ht="12.75" customHeight="1">
      <c r="A48" s="111"/>
      <c r="B48" s="88"/>
      <c r="C48" s="243" t="s">
        <v>226</v>
      </c>
      <c r="D48" s="252"/>
      <c r="E48" s="253">
        <v>29.0</v>
      </c>
      <c r="F48" s="254"/>
      <c r="G48" s="112"/>
      <c r="H48" s="112"/>
      <c r="I48" s="112"/>
      <c r="J48" s="263"/>
      <c r="K48" s="91" t="s">
        <v>228</v>
      </c>
      <c r="L48" s="92"/>
      <c r="M48" s="92"/>
      <c r="N48" s="92"/>
      <c r="O48" s="92"/>
      <c r="P48" s="92"/>
      <c r="Q48" s="92"/>
      <c r="R48" s="93"/>
    </row>
    <row r="49" ht="12.75" customHeight="1">
      <c r="A49" s="111"/>
      <c r="B49" s="88"/>
      <c r="C49" s="243" t="s">
        <v>229</v>
      </c>
      <c r="D49" s="252"/>
      <c r="E49" s="253">
        <v>6.5</v>
      </c>
      <c r="F49" s="254"/>
      <c r="G49" s="112"/>
      <c r="H49" s="112"/>
      <c r="I49" s="112"/>
      <c r="J49" s="140"/>
      <c r="K49" s="192" t="s">
        <v>232</v>
      </c>
      <c r="L49" s="193"/>
      <c r="M49" s="69"/>
      <c r="N49" s="70"/>
      <c r="O49" s="194" t="s">
        <v>234</v>
      </c>
      <c r="P49" s="265"/>
      <c r="Q49" s="70"/>
      <c r="R49" s="102"/>
    </row>
    <row r="50" ht="12.75" customHeight="1">
      <c r="A50" s="111"/>
      <c r="B50" s="88"/>
      <c r="C50" s="243" t="s">
        <v>237</v>
      </c>
      <c r="D50" s="252"/>
      <c r="E50" s="253">
        <v>98.0</v>
      </c>
      <c r="F50" s="254"/>
      <c r="G50" s="112"/>
      <c r="H50" s="112"/>
      <c r="I50" s="112"/>
      <c r="J50" s="140"/>
      <c r="K50" s="266" t="s">
        <v>238</v>
      </c>
      <c r="L50" s="267" t="s">
        <v>419</v>
      </c>
      <c r="M50" s="66"/>
      <c r="N50" s="268" t="s">
        <v>240</v>
      </c>
      <c r="O50" s="66"/>
      <c r="P50" s="269" t="s">
        <v>419</v>
      </c>
      <c r="Q50" s="66"/>
      <c r="R50" s="110"/>
    </row>
    <row r="51" ht="12.75" customHeight="1">
      <c r="A51" s="111"/>
      <c r="B51" s="88"/>
      <c r="C51" s="243" t="s">
        <v>241</v>
      </c>
      <c r="D51" s="252"/>
      <c r="E51" s="253"/>
      <c r="F51" s="270"/>
      <c r="G51" s="259"/>
      <c r="H51" s="259"/>
      <c r="I51" s="259"/>
      <c r="J51" s="140"/>
      <c r="K51" s="266" t="s">
        <v>242</v>
      </c>
      <c r="L51" s="267" t="s">
        <v>65</v>
      </c>
      <c r="M51" s="66"/>
      <c r="N51" s="271" t="s">
        <v>243</v>
      </c>
      <c r="O51" s="79"/>
      <c r="P51" s="79"/>
      <c r="Q51" s="80"/>
      <c r="R51" s="110"/>
    </row>
    <row r="52" ht="12.75" customHeight="1">
      <c r="A52" s="111"/>
      <c r="B52" s="88"/>
      <c r="C52" s="243"/>
      <c r="D52" s="252"/>
      <c r="E52" s="253"/>
      <c r="F52" s="254"/>
      <c r="G52" s="112"/>
      <c r="H52" s="112"/>
      <c r="I52" s="112"/>
      <c r="J52" s="263"/>
      <c r="K52" s="266" t="s">
        <v>244</v>
      </c>
      <c r="L52" s="267" t="s">
        <v>65</v>
      </c>
      <c r="M52" s="66"/>
      <c r="N52" s="205"/>
      <c r="Q52" s="206"/>
      <c r="R52" s="110"/>
    </row>
    <row r="53" ht="12.75" customHeight="1">
      <c r="A53" s="111"/>
      <c r="B53" s="88"/>
      <c r="C53" s="272" t="s">
        <v>245</v>
      </c>
      <c r="D53" s="273"/>
      <c r="E53" s="274"/>
      <c r="F53" s="254"/>
      <c r="G53" s="112"/>
      <c r="H53" s="112"/>
      <c r="I53" s="112"/>
      <c r="J53" s="263"/>
      <c r="K53" s="266" t="s">
        <v>246</v>
      </c>
      <c r="L53" s="267" t="s">
        <v>65</v>
      </c>
      <c r="M53" s="66"/>
      <c r="N53" s="205"/>
      <c r="Q53" s="206"/>
      <c r="R53" s="110"/>
    </row>
    <row r="54" ht="12.75" customHeight="1">
      <c r="A54" s="166"/>
      <c r="B54" s="167"/>
      <c r="C54" s="275"/>
      <c r="D54" s="276"/>
      <c r="E54" s="277"/>
      <c r="F54" s="278"/>
      <c r="G54" s="118"/>
      <c r="H54" s="118"/>
      <c r="I54" s="118"/>
      <c r="J54" s="279"/>
      <c r="K54" s="188" t="s">
        <v>247</v>
      </c>
      <c r="L54" s="180"/>
      <c r="M54" s="80"/>
      <c r="N54" s="280"/>
      <c r="O54" s="281"/>
      <c r="P54" s="281"/>
      <c r="Q54" s="282"/>
      <c r="R54" s="81"/>
    </row>
    <row r="55" ht="18.75" customHeight="1">
      <c r="A55" s="283" t="s">
        <v>248</v>
      </c>
      <c r="B55" s="315" t="s">
        <v>420</v>
      </c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285"/>
      <c r="Q55" s="285"/>
      <c r="R55" s="286"/>
    </row>
    <row r="56" ht="18.75" customHeight="1">
      <c r="A56" s="287"/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8"/>
      <c r="P56" s="288"/>
      <c r="Q56" s="288"/>
      <c r="R56" s="289"/>
    </row>
  </sheetData>
  <mergeCells count="127">
    <mergeCell ref="B4:Q4"/>
    <mergeCell ref="B5:Q5"/>
    <mergeCell ref="A6:B6"/>
    <mergeCell ref="C6:J6"/>
    <mergeCell ref="K6:Q6"/>
    <mergeCell ref="R8:R13"/>
    <mergeCell ref="P13:Q13"/>
    <mergeCell ref="K14:R14"/>
    <mergeCell ref="C8:J13"/>
    <mergeCell ref="C14:E14"/>
    <mergeCell ref="F14:H14"/>
    <mergeCell ref="I14:J14"/>
    <mergeCell ref="C15:D15"/>
    <mergeCell ref="I15:I16"/>
    <mergeCell ref="J15:J16"/>
    <mergeCell ref="I21:J21"/>
    <mergeCell ref="I22:J23"/>
    <mergeCell ref="I17:I18"/>
    <mergeCell ref="J17:J18"/>
    <mergeCell ref="I19:I20"/>
    <mergeCell ref="J19:J20"/>
    <mergeCell ref="F20:H20"/>
    <mergeCell ref="F21:G21"/>
    <mergeCell ref="F22:G22"/>
    <mergeCell ref="F23:G23"/>
    <mergeCell ref="P9:Q9"/>
    <mergeCell ref="P10:Q10"/>
    <mergeCell ref="P11:Q11"/>
    <mergeCell ref="P12:Q12"/>
    <mergeCell ref="P15:Q15"/>
    <mergeCell ref="R15:R20"/>
    <mergeCell ref="P16:Q16"/>
    <mergeCell ref="P17:Q17"/>
    <mergeCell ref="P18:Q18"/>
    <mergeCell ref="D1:G1"/>
    <mergeCell ref="J1:J2"/>
    <mergeCell ref="K1:K2"/>
    <mergeCell ref="L1:L2"/>
    <mergeCell ref="M1:Q2"/>
    <mergeCell ref="H2:I2"/>
    <mergeCell ref="B3:Q3"/>
    <mergeCell ref="C7:J7"/>
    <mergeCell ref="K7:R7"/>
    <mergeCell ref="R4:R5"/>
    <mergeCell ref="P8:Q8"/>
    <mergeCell ref="A7:B8"/>
    <mergeCell ref="A9:B13"/>
    <mergeCell ref="A14:B14"/>
    <mergeCell ref="A15:B15"/>
    <mergeCell ref="A19:B19"/>
    <mergeCell ref="A23:B23"/>
    <mergeCell ref="C24:E24"/>
    <mergeCell ref="A24:B28"/>
    <mergeCell ref="P19:Q19"/>
    <mergeCell ref="P20:Q20"/>
    <mergeCell ref="K21:R21"/>
    <mergeCell ref="F24:J24"/>
    <mergeCell ref="H25:J25"/>
    <mergeCell ref="H26:J26"/>
    <mergeCell ref="H27:J27"/>
    <mergeCell ref="R22:R27"/>
    <mergeCell ref="R29:R34"/>
    <mergeCell ref="F35:J35"/>
    <mergeCell ref="K35:R35"/>
    <mergeCell ref="A36:B36"/>
    <mergeCell ref="H36:J36"/>
    <mergeCell ref="L36:M36"/>
    <mergeCell ref="H28:J28"/>
    <mergeCell ref="K28:R28"/>
    <mergeCell ref="A29:B29"/>
    <mergeCell ref="H29:J29"/>
    <mergeCell ref="L29:M29"/>
    <mergeCell ref="H30:J30"/>
    <mergeCell ref="M30:N30"/>
    <mergeCell ref="L53:M53"/>
    <mergeCell ref="L54:M54"/>
    <mergeCell ref="L49:N49"/>
    <mergeCell ref="L50:M50"/>
    <mergeCell ref="N50:O50"/>
    <mergeCell ref="P50:Q50"/>
    <mergeCell ref="L51:M51"/>
    <mergeCell ref="N51:Q54"/>
    <mergeCell ref="L52:M52"/>
    <mergeCell ref="H31:J31"/>
    <mergeCell ref="L31:M31"/>
    <mergeCell ref="N31:O31"/>
    <mergeCell ref="H32:J32"/>
    <mergeCell ref="L32:M32"/>
    <mergeCell ref="L33:M33"/>
    <mergeCell ref="L34:M34"/>
    <mergeCell ref="H41:J41"/>
    <mergeCell ref="H42:J42"/>
    <mergeCell ref="K42:L42"/>
    <mergeCell ref="M42:N42"/>
    <mergeCell ref="R36:R40"/>
    <mergeCell ref="R42:R47"/>
    <mergeCell ref="R49:R54"/>
    <mergeCell ref="N32:Q34"/>
    <mergeCell ref="N36:Q40"/>
    <mergeCell ref="L37:M37"/>
    <mergeCell ref="L38:M38"/>
    <mergeCell ref="L39:M39"/>
    <mergeCell ref="L40:M40"/>
    <mergeCell ref="K41:R41"/>
    <mergeCell ref="H33:J33"/>
    <mergeCell ref="H34:J34"/>
    <mergeCell ref="A37:B54"/>
    <mergeCell ref="H37:J37"/>
    <mergeCell ref="H38:J38"/>
    <mergeCell ref="H39:J39"/>
    <mergeCell ref="H40:J40"/>
    <mergeCell ref="A55:A56"/>
    <mergeCell ref="C43:E43"/>
    <mergeCell ref="F43:J43"/>
    <mergeCell ref="K43:L43"/>
    <mergeCell ref="M43:N43"/>
    <mergeCell ref="K44:L44"/>
    <mergeCell ref="M44:N44"/>
    <mergeCell ref="M45:N45"/>
    <mergeCell ref="K45:L45"/>
    <mergeCell ref="K46:L46"/>
    <mergeCell ref="M46:N46"/>
    <mergeCell ref="K47:L47"/>
    <mergeCell ref="M47:N47"/>
    <mergeCell ref="K48:R48"/>
    <mergeCell ref="P49:Q49"/>
    <mergeCell ref="B55:R56"/>
  </mergeCells>
  <conditionalFormatting sqref="D17:E17">
    <cfRule type="cellIs" dxfId="4" priority="1" operator="between">
      <formula>60</formula>
      <formula>100</formula>
    </cfRule>
  </conditionalFormatting>
  <conditionalFormatting sqref="D17:E17">
    <cfRule type="cellIs" dxfId="5" priority="2" operator="notBetween">
      <formula>60</formula>
      <formula>90</formula>
    </cfRule>
  </conditionalFormatting>
  <conditionalFormatting sqref="D18">
    <cfRule type="cellIs" dxfId="5" priority="3" operator="notBetween">
      <formula>60</formula>
      <formula>100</formula>
    </cfRule>
  </conditionalFormatting>
  <conditionalFormatting sqref="E18">
    <cfRule type="cellIs" dxfId="4" priority="4" operator="between">
      <formula>60</formula>
      <formula>100</formula>
    </cfRule>
  </conditionalFormatting>
  <conditionalFormatting sqref="E18">
    <cfRule type="cellIs" dxfId="6" priority="5" operator="notBetween">
      <formula>60</formula>
      <formula>100</formula>
    </cfRule>
  </conditionalFormatting>
  <conditionalFormatting sqref="D19:E19">
    <cfRule type="cellIs" dxfId="4" priority="6" operator="between">
      <formula>12</formula>
      <formula>20</formula>
    </cfRule>
  </conditionalFormatting>
  <conditionalFormatting sqref="D19:E19">
    <cfRule type="cellIs" dxfId="5" priority="7" operator="notBetween">
      <formula>12</formula>
      <formula>20</formula>
    </cfRule>
  </conditionalFormatting>
  <conditionalFormatting sqref="D21:E21">
    <cfRule type="cellIs" dxfId="4" priority="8" operator="between">
      <formula>92</formula>
      <formula>100</formula>
    </cfRule>
  </conditionalFormatting>
  <conditionalFormatting sqref="D21:E21">
    <cfRule type="cellIs" dxfId="5" priority="9" operator="notBetween">
      <formula>92</formula>
      <formula>100</formula>
    </cfRule>
  </conditionalFormatting>
  <conditionalFormatting sqref="D21:E23">
    <cfRule type="cellIs" dxfId="4" priority="10" operator="between">
      <formula>80</formula>
      <formula>180</formula>
    </cfRule>
  </conditionalFormatting>
  <conditionalFormatting sqref="D21:E23">
    <cfRule type="cellIs" dxfId="5" priority="11" operator="notBetween">
      <formula>80</formula>
      <formula>180</formula>
    </cfRule>
  </conditionalFormatting>
  <conditionalFormatting sqref="E20">
    <cfRule type="cellIs" dxfId="8" priority="12" operator="greaterThanOrEqual">
      <formula>37.8</formula>
    </cfRule>
  </conditionalFormatting>
  <conditionalFormatting sqref="H2">
    <cfRule type="cellIs" dxfId="0" priority="13" operator="lessThanOrEqual">
      <formula>1</formula>
    </cfRule>
  </conditionalFormatting>
  <conditionalFormatting sqref="P16:Q16">
    <cfRule type="cellIs" dxfId="1" priority="14" operator="between">
      <formula>60</formula>
      <formula>100</formula>
    </cfRule>
  </conditionalFormatting>
  <conditionalFormatting sqref="P16:Q16">
    <cfRule type="cellIs" dxfId="2" priority="15" operator="notBetween">
      <formula>60</formula>
      <formula>100</formula>
    </cfRule>
  </conditionalFormatting>
  <conditionalFormatting sqref="P15:Q15">
    <cfRule type="cellIs" dxfId="1" priority="16" operator="between">
      <formula>60</formula>
      <formula>100</formula>
    </cfRule>
  </conditionalFormatting>
  <conditionalFormatting sqref="P15:Q15">
    <cfRule type="cellIs" dxfId="3" priority="17" operator="notBetween">
      <formula>60</formula>
      <formula>100</formula>
    </cfRule>
  </conditionalFormatting>
  <conditionalFormatting sqref="P17:Q17">
    <cfRule type="cellIs" dxfId="1" priority="18" operator="between">
      <formula>1</formula>
      <formula>3</formula>
    </cfRule>
  </conditionalFormatting>
  <conditionalFormatting sqref="P17:Q17">
    <cfRule type="cellIs" dxfId="3" priority="19" operator="notBetween">
      <formula>1</formula>
      <formula>3</formula>
    </cfRule>
  </conditionalFormatting>
  <conditionalFormatting sqref="N23">
    <cfRule type="cellIs" dxfId="1" priority="20" operator="between">
      <formula>12</formula>
      <formula>20</formula>
    </cfRule>
  </conditionalFormatting>
  <conditionalFormatting sqref="N23">
    <cfRule type="cellIs" dxfId="3" priority="21" operator="notBetween">
      <formula>12</formula>
      <formula>20</formula>
    </cfRule>
  </conditionalFormatting>
  <conditionalFormatting sqref="N24">
    <cfRule type="cellIs" dxfId="1" priority="22" operator="between">
      <formula>21</formula>
      <formula>45</formula>
    </cfRule>
  </conditionalFormatting>
  <conditionalFormatting sqref="N24">
    <cfRule type="cellIs" dxfId="3" priority="23" operator="notBetween">
      <formula>21</formula>
      <formula>45</formula>
    </cfRule>
  </conditionalFormatting>
  <conditionalFormatting sqref="N25">
    <cfRule type="cellIs" dxfId="1" priority="24" operator="between">
      <formula>3</formula>
      <formula>10</formula>
    </cfRule>
  </conditionalFormatting>
  <conditionalFormatting sqref="N25">
    <cfRule type="cellIs" dxfId="3" priority="25" operator="notBetween">
      <formula>3</formula>
      <formula>10</formula>
    </cfRule>
  </conditionalFormatting>
  <conditionalFormatting sqref="L25:L27">
    <cfRule type="cellIs" dxfId="1" priority="26" operator="between">
      <formula>20</formula>
      <formula>35</formula>
    </cfRule>
  </conditionalFormatting>
  <conditionalFormatting sqref="L25:L27">
    <cfRule type="cellIs" dxfId="3" priority="27" operator="notBetween">
      <formula>20</formula>
      <formula>35</formula>
    </cfRule>
  </conditionalFormatting>
  <conditionalFormatting sqref="D17:D18 E17">
    <cfRule type="cellIs" dxfId="1" priority="28" operator="between">
      <formula>60</formula>
      <formula>100</formula>
    </cfRule>
  </conditionalFormatting>
  <conditionalFormatting sqref="D17:E17">
    <cfRule type="cellIs" dxfId="8" priority="29" operator="notBetween">
      <formula>60</formula>
      <formula>90</formula>
    </cfRule>
  </conditionalFormatting>
  <conditionalFormatting sqref="D18">
    <cfRule type="cellIs" dxfId="1" priority="30" operator="between">
      <formula>60</formula>
      <formula>100</formula>
    </cfRule>
  </conditionalFormatting>
  <conditionalFormatting sqref="D18">
    <cfRule type="cellIs" dxfId="8" priority="31" operator="notBetween">
      <formula>60</formula>
      <formula>100</formula>
    </cfRule>
  </conditionalFormatting>
  <conditionalFormatting sqref="E18">
    <cfRule type="cellIs" dxfId="1" priority="32" operator="between">
      <formula>60</formula>
      <formula>100</formula>
    </cfRule>
  </conditionalFormatting>
  <conditionalFormatting sqref="E18">
    <cfRule type="cellIs" dxfId="3" priority="33" operator="notBetween">
      <formula>60</formula>
      <formula>100</formula>
    </cfRule>
  </conditionalFormatting>
  <conditionalFormatting sqref="D19:E19">
    <cfRule type="cellIs" dxfId="1" priority="34" operator="between">
      <formula>12</formula>
      <formula>20</formula>
    </cfRule>
  </conditionalFormatting>
  <conditionalFormatting sqref="D19:E19">
    <cfRule type="cellIs" dxfId="8" priority="35" operator="notBetween">
      <formula>12</formula>
      <formula>20</formula>
    </cfRule>
  </conditionalFormatting>
  <conditionalFormatting sqref="D20:E20">
    <cfRule type="cellIs" dxfId="1" priority="36" operator="between">
      <formula>35</formula>
      <formula>37.7</formula>
    </cfRule>
  </conditionalFormatting>
  <conditionalFormatting sqref="D20:E20">
    <cfRule type="cellIs" dxfId="8" priority="37" operator="notBetween">
      <formula>35</formula>
      <formula>37.7</formula>
    </cfRule>
  </conditionalFormatting>
  <conditionalFormatting sqref="D21:E21">
    <cfRule type="cellIs" dxfId="1" priority="38" operator="between">
      <formula>92</formula>
      <formula>100</formula>
    </cfRule>
  </conditionalFormatting>
  <conditionalFormatting sqref="D21:E21">
    <cfRule type="cellIs" dxfId="8" priority="39" operator="notBetween">
      <formula>92</formula>
      <formula>100</formula>
    </cfRule>
  </conditionalFormatting>
  <conditionalFormatting sqref="D21:E23">
    <cfRule type="cellIs" dxfId="1" priority="40" operator="between">
      <formula>80</formula>
      <formula>180</formula>
    </cfRule>
  </conditionalFormatting>
  <conditionalFormatting sqref="D21:E23">
    <cfRule type="cellIs" dxfId="8" priority="41" operator="notBetween">
      <formula>80</formula>
      <formula>180</formula>
    </cfRule>
  </conditionalFormatting>
  <conditionalFormatting sqref="J15:J16">
    <cfRule type="cellIs" dxfId="1" priority="42" operator="between">
      <formula>500</formula>
      <formula>2500</formula>
    </cfRule>
  </conditionalFormatting>
  <conditionalFormatting sqref="J15:J16">
    <cfRule type="cellIs" dxfId="3" priority="43" operator="notBetween">
      <formula>500</formula>
      <formula>2500</formula>
    </cfRule>
  </conditionalFormatting>
  <conditionalFormatting sqref="D26:E26">
    <cfRule type="cellIs" dxfId="1" priority="44" operator="between">
      <formula>7</formula>
      <formula>16</formula>
    </cfRule>
  </conditionalFormatting>
  <conditionalFormatting sqref="D26:E26">
    <cfRule type="cellIs" dxfId="3" priority="45" operator="notBetween">
      <formula>7</formula>
      <formula>16</formula>
    </cfRule>
  </conditionalFormatting>
  <conditionalFormatting sqref="D28:E28">
    <cfRule type="cellIs" dxfId="1" priority="46" operator="between">
      <formula>4000</formula>
      <formula>12000</formula>
    </cfRule>
  </conditionalFormatting>
  <conditionalFormatting sqref="D28:E28">
    <cfRule type="cellIs" dxfId="3" priority="47" operator="notBetween">
      <formula>4000</formula>
      <formula>12000</formula>
    </cfRule>
  </conditionalFormatting>
  <conditionalFormatting sqref="D29:E29">
    <cfRule type="cellIs" dxfId="1" priority="48" operator="between">
      <formula>150000</formula>
      <formula>500000</formula>
    </cfRule>
  </conditionalFormatting>
  <conditionalFormatting sqref="D29:E29">
    <cfRule type="cellIs" dxfId="3" priority="49" operator="notBetween">
      <formula>150000</formula>
      <formula>500000</formula>
    </cfRule>
  </conditionalFormatting>
  <conditionalFormatting sqref="D31:E31">
    <cfRule type="cellIs" dxfId="1" priority="50" operator="between">
      <formula>10</formula>
      <formula>45</formula>
    </cfRule>
  </conditionalFormatting>
  <conditionalFormatting sqref="D31:E31">
    <cfRule type="cellIs" dxfId="3" priority="51" operator="notBetween">
      <formula>10</formula>
      <formula>45</formula>
    </cfRule>
  </conditionalFormatting>
  <conditionalFormatting sqref="D32:E32">
    <cfRule type="cellIs" dxfId="1" priority="52" operator="between">
      <formula>0.5</formula>
      <formula>1.4</formula>
    </cfRule>
  </conditionalFormatting>
  <conditionalFormatting sqref="D32:E32">
    <cfRule type="cellIs" dxfId="3" priority="53" operator="notBetween">
      <formula>0.5</formula>
      <formula>1.4</formula>
    </cfRule>
  </conditionalFormatting>
  <conditionalFormatting sqref="D33:E33">
    <cfRule type="cellIs" dxfId="1" priority="54" operator="between">
      <formula>135</formula>
      <formula>145</formula>
    </cfRule>
  </conditionalFormatting>
  <conditionalFormatting sqref="D33:E33">
    <cfRule type="cellIs" dxfId="3" priority="55" operator="notBetween">
      <formula>135</formula>
      <formula>145</formula>
    </cfRule>
  </conditionalFormatting>
  <conditionalFormatting sqref="D34:E34">
    <cfRule type="cellIs" dxfId="1" priority="56" operator="between">
      <formula>3.5</formula>
      <formula>5.5</formula>
    </cfRule>
  </conditionalFormatting>
  <conditionalFormatting sqref="D34:E34">
    <cfRule type="cellIs" dxfId="3" priority="57" operator="notBetween">
      <formula>3.5</formula>
      <formula>5.5</formula>
    </cfRule>
  </conditionalFormatting>
  <conditionalFormatting sqref="D38:E38">
    <cfRule type="cellIs" dxfId="1" priority="58" operator="between">
      <formula>0</formula>
      <formula>0.1</formula>
    </cfRule>
  </conditionalFormatting>
  <conditionalFormatting sqref="D38:E38">
    <cfRule type="cellIs" dxfId="3" priority="59" operator="notBetween">
      <formula>0</formula>
      <formula>0.1</formula>
    </cfRule>
  </conditionalFormatting>
  <conditionalFormatting sqref="D45:E45">
    <cfRule type="cellIs" dxfId="1" priority="60" operator="between">
      <formula>7.35</formula>
      <formula>7.45</formula>
    </cfRule>
  </conditionalFormatting>
  <conditionalFormatting sqref="D45:E45">
    <cfRule type="cellIs" dxfId="3" priority="61" operator="notBetween">
      <formula>7.35</formula>
      <formula>7.45</formula>
    </cfRule>
  </conditionalFormatting>
  <conditionalFormatting sqref="D46:E46">
    <cfRule type="cellIs" dxfId="1" priority="62" operator="between">
      <formula>35</formula>
      <formula>45</formula>
    </cfRule>
  </conditionalFormatting>
  <conditionalFormatting sqref="D46:E46">
    <cfRule type="cellIs" dxfId="3" priority="63" operator="notBetween">
      <formula>35</formula>
      <formula>45</formula>
    </cfRule>
  </conditionalFormatting>
  <conditionalFormatting sqref="D47:E47">
    <cfRule type="cellIs" dxfId="1" priority="64" operator="between">
      <formula>60</formula>
      <formula>100</formula>
    </cfRule>
  </conditionalFormatting>
  <conditionalFormatting sqref="D47:E47">
    <cfRule type="cellIs" dxfId="3" priority="65" operator="notBetween">
      <formula>60</formula>
      <formula>100</formula>
    </cfRule>
  </conditionalFormatting>
  <conditionalFormatting sqref="D48:E48">
    <cfRule type="cellIs" dxfId="1" priority="66" operator="between">
      <formula>18</formula>
      <formula>30</formula>
    </cfRule>
  </conditionalFormatting>
  <conditionalFormatting sqref="D48:E48">
    <cfRule type="cellIs" dxfId="3" priority="67" operator="notBetween">
      <formula>18</formula>
      <formula>30</formula>
    </cfRule>
  </conditionalFormatting>
  <conditionalFormatting sqref="D49:E49">
    <cfRule type="cellIs" dxfId="1" priority="68" operator="between">
      <formula>-2</formula>
      <formula>2</formula>
    </cfRule>
  </conditionalFormatting>
  <conditionalFormatting sqref="D49:E49">
    <cfRule type="cellIs" dxfId="3" priority="69" operator="notBetween">
      <formula>-2</formula>
      <formula>2</formula>
    </cfRule>
  </conditionalFormatting>
  <conditionalFormatting sqref="D50:E50">
    <cfRule type="cellIs" dxfId="1" priority="70" operator="between">
      <formula>92</formula>
      <formula>100</formula>
    </cfRule>
  </conditionalFormatting>
  <conditionalFormatting sqref="D50:E50">
    <cfRule type="cellIs" dxfId="3" priority="71" operator="notBetween">
      <formula>92</formula>
      <formula>100</formula>
    </cfRule>
  </conditionalFormatting>
  <conditionalFormatting sqref="D51:E51">
    <cfRule type="cellIs" dxfId="1" priority="72" operator="between">
      <formula>400</formula>
      <formula>600</formula>
    </cfRule>
  </conditionalFormatting>
  <conditionalFormatting sqref="D51:E51">
    <cfRule type="cellIs" dxfId="3" priority="73" operator="notBetween">
      <formula>400</formula>
      <formula>600</formula>
    </cfRule>
  </conditionalFormatting>
  <conditionalFormatting sqref="B35">
    <cfRule type="cellIs" dxfId="1" priority="74" operator="between">
      <formula>0</formula>
      <formula>20</formula>
    </cfRule>
  </conditionalFormatting>
  <conditionalFormatting sqref="B35">
    <cfRule type="cellIs" dxfId="7" priority="75" operator="between">
      <formula>20</formula>
      <formula>50</formula>
    </cfRule>
  </conditionalFormatting>
  <conditionalFormatting sqref="B35">
    <cfRule type="cellIs" dxfId="8" priority="76" operator="between">
      <formula>50</formula>
      <formula>100</formula>
    </cfRule>
  </conditionalFormatting>
  <conditionalFormatting sqref="P8:Q8">
    <cfRule type="cellIs" dxfId="1" priority="77" operator="between">
      <formula>13</formula>
      <formula>15</formula>
    </cfRule>
  </conditionalFormatting>
  <conditionalFormatting sqref="P8:Q8">
    <cfRule type="cellIs" dxfId="3" priority="78" operator="notBetween">
      <formula>13</formula>
      <formula>15</formula>
    </cfRule>
  </conditionalFormatting>
  <conditionalFormatting sqref="P9:Q9">
    <cfRule type="cellIs" dxfId="1" priority="79" operator="between">
      <formula>0</formula>
      <formula>-2</formula>
    </cfRule>
  </conditionalFormatting>
  <conditionalFormatting sqref="P9:Q9">
    <cfRule type="cellIs" dxfId="3" priority="80" operator="notBetween">
      <formula>0</formula>
      <formula>-2</formula>
    </cfRule>
  </conditionalFormatting>
  <conditionalFormatting sqref="L49:N49">
    <cfRule type="notContainsBlanks" dxfId="3" priority="81">
      <formula>LEN(TRIM(L49))&gt;0</formula>
    </cfRule>
  </conditionalFormatting>
  <conditionalFormatting sqref="B33">
    <cfRule type="cellIs" dxfId="8" priority="82" operator="lessThan">
      <formula>40</formula>
    </cfRule>
  </conditionalFormatting>
  <conditionalFormatting sqref="B33">
    <cfRule type="cellIs" dxfId="9" priority="83" operator="between">
      <formula>40</formula>
      <formula>60</formula>
    </cfRule>
  </conditionalFormatting>
  <conditionalFormatting sqref="B33">
    <cfRule type="cellIs" dxfId="1" priority="84" operator="greaterThan">
      <formula>60</formula>
    </cfRule>
  </conditionalFormatting>
  <conditionalFormatting sqref="K1:K2">
    <cfRule type="notContainsBlanks" dxfId="8" priority="85">
      <formula>LEN(TRIM(K1))&gt;0</formula>
    </cfRule>
  </conditionalFormatting>
  <dataValidations>
    <dataValidation type="list" allowBlank="1" showErrorMessage="1" sqref="K9">
      <formula1>"MIDAZOLAM 2X,MIDAZOLAM 5X,FENTANIL 2X, FENTANIL 5X,TRIDIL 1X,DOBUTA 4X,PROPOFOL 5X,CETAMINA 2X,PRECEDEX 2X,ROCURONIO 5X"</formula1>
    </dataValidation>
    <dataValidation type="list" allowBlank="1" showErrorMessage="1" sqref="P20 L37 L39">
      <formula1>"SIM,NÃO"</formula1>
    </dataValidation>
    <dataValidation type="list" allowBlank="1" showErrorMessage="1" sqref="P49">
      <formula1>"N/A,I,II,III,IV,INCLASSIFICÁVEL"</formula1>
    </dataValidation>
    <dataValidation type="list" allowBlank="1" showErrorMessage="1" sqref="L22">
      <formula1>"TOT,TQT,VNI,CNO2,MNR,VENTURI,AA"</formula1>
    </dataValidation>
    <dataValidation type="list" allowBlank="1" showErrorMessage="1" sqref="P11:P13 P18 L31:L34 L36">
      <formula1>"SIM,NÃO"</formula1>
    </dataValidation>
    <dataValidation type="list" allowBlank="1" showErrorMessage="1" sqref="L23">
      <formula1>"1ºdia,2ºdia,3ºdia,4ºdia,5ºdia"</formula1>
    </dataValidation>
    <dataValidation type="list" allowBlank="1" showErrorMessage="1" sqref="L29">
      <formula1>"JEJUM,GERAL,BRANDA,PASTOSA,LEVE,LIQ.C/RESÍDUO,LIQ.S/RESÍDUO,LIQ.FRIA,ÁGUA,CHÁ,GELATINA,DIBEN,HP ENERGI,ENERGI,DIAMAX,LEVE HAS/DM,FENTANIL X2,FE"</formula1>
    </dataValidation>
    <dataValidation type="list" allowBlank="1" showErrorMessage="1" sqref="K10:K13">
      <formula1>"MIDAZOLAM,FENTANIL,PROPOFOL,CETAMINA,PRECEDEX,ROCURONIO"</formula1>
    </dataValidation>
    <dataValidation type="list" allowBlank="1" showErrorMessage="1" sqref="P19">
      <formula1>"SIM,NÃO,N/A"</formula1>
    </dataValidation>
    <dataValidation type="list" allowBlank="1" showErrorMessage="1" sqref="M42:M43 M45">
      <formula1>"SIM,NÃO,N/A"</formula1>
    </dataValidation>
    <dataValidation type="list" allowBlank="1" showErrorMessage="1" sqref="K16:K20">
      <formula1>"NORADRENALINA 4X,NORADRENALINA 8X,VASOPRESSINA 2X,NIPRID 1X, TRIDIL 1X,DOBUTAMINA 4X,DOPAMINA 5X,NIPRIDE X2,AMIODARONA X6"</formula1>
    </dataValidation>
    <dataValidation type="list" allowBlank="1" showErrorMessage="1" sqref="O29">
      <formula1>"N/A,ORAL,SNE,GTT,PARENTERAL"</formula1>
    </dataValidation>
    <dataValidation type="list" allowBlank="1" showErrorMessage="1" sqref="M47">
      <formula1>"SANGRAMENTO,AGUARDA CC,QUEDA HB,PLAQUETOPENIA"</formula1>
    </dataValidation>
    <dataValidation type="list" allowBlank="1" showErrorMessage="1" sqref="M44 M46 L51:L53">
      <formula1>"SIM,NÃO,N/A"</formula1>
    </dataValidation>
  </dataValidations>
  <printOptions gridLines="1" horizontalCentered="1"/>
  <pageMargins bottom="0.14871749934278886" footer="0.0" header="0.0" left="0.18589687417848605" right="0.18589687417848605" top="0.18589687417848605"/>
  <pageSetup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0.63"/>
    <col customWidth="1" min="3" max="3" width="10.38"/>
    <col customWidth="1" min="4" max="4" width="8.75"/>
    <col customWidth="1" min="5" max="5" width="7.0"/>
    <col customWidth="1" min="6" max="6" width="9.63"/>
    <col customWidth="1" min="7" max="7" width="8.63"/>
    <col customWidth="1" min="8" max="8" width="9.13"/>
    <col customWidth="1" min="9" max="9" width="9.5"/>
    <col customWidth="1" min="10" max="10" width="9.38"/>
    <col customWidth="1" min="11" max="11" width="19.5"/>
    <col customWidth="1" min="12" max="12" width="9.75"/>
    <col customWidth="1" min="13" max="13" width="8.13"/>
    <col customWidth="1" min="14" max="14" width="7.0"/>
    <col customWidth="1" min="15" max="15" width="13.13"/>
    <col customWidth="1" min="16" max="16" width="6.0"/>
    <col customWidth="1" min="17" max="17" width="11.88"/>
    <col customWidth="1" min="18" max="18" width="25.63"/>
  </cols>
  <sheetData>
    <row r="1" ht="12.75" customHeight="1">
      <c r="A1" s="43">
        <v>17.0</v>
      </c>
      <c r="B1" s="44">
        <v>577523.0</v>
      </c>
      <c r="C1" s="45" t="s">
        <v>25</v>
      </c>
      <c r="D1" s="46" t="s">
        <v>421</v>
      </c>
      <c r="E1" s="47"/>
      <c r="F1" s="47"/>
      <c r="G1" s="48"/>
      <c r="H1" s="49" t="s">
        <v>4</v>
      </c>
      <c r="I1" s="50">
        <v>61.0</v>
      </c>
      <c r="J1" s="51" t="s">
        <v>422</v>
      </c>
      <c r="K1" s="52"/>
      <c r="L1" s="53" t="s">
        <v>28</v>
      </c>
      <c r="M1" s="389" t="s">
        <v>423</v>
      </c>
      <c r="N1" s="55"/>
      <c r="O1" s="55"/>
      <c r="P1" s="55"/>
      <c r="Q1" s="56"/>
      <c r="R1" s="57" t="s">
        <v>30</v>
      </c>
    </row>
    <row r="2" ht="26.25" customHeight="1">
      <c r="A2" s="58" t="s">
        <v>31</v>
      </c>
      <c r="B2" s="59">
        <v>45994.0</v>
      </c>
      <c r="C2" s="60" t="s">
        <v>32</v>
      </c>
      <c r="D2" s="290">
        <v>46000.541666666664</v>
      </c>
      <c r="E2" s="62" t="s">
        <v>33</v>
      </c>
      <c r="F2" s="63">
        <v>14.0</v>
      </c>
      <c r="G2" s="64" t="s">
        <v>34</v>
      </c>
      <c r="H2" s="390">
        <f>(D2+F2)-O2</f>
        <v>46014.54167</v>
      </c>
      <c r="I2" s="66"/>
      <c r="J2" s="67"/>
      <c r="K2" s="67"/>
      <c r="L2" s="67"/>
      <c r="M2" s="68"/>
      <c r="N2" s="69"/>
      <c r="O2" s="69"/>
      <c r="P2" s="69"/>
      <c r="Q2" s="70"/>
      <c r="R2" s="71">
        <v>8.0</v>
      </c>
    </row>
    <row r="3" ht="36.0" customHeight="1">
      <c r="A3" s="72" t="s">
        <v>35</v>
      </c>
      <c r="B3" s="73" t="s">
        <v>424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66"/>
      <c r="R3" s="75" t="s">
        <v>37</v>
      </c>
    </row>
    <row r="4" ht="30.75" customHeight="1">
      <c r="A4" s="72" t="s">
        <v>38</v>
      </c>
      <c r="B4" s="239" t="s">
        <v>425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66"/>
      <c r="R4" s="76">
        <f>TODAY()</f>
        <v>46009</v>
      </c>
    </row>
    <row r="5" ht="12.75" customHeight="1">
      <c r="A5" s="77" t="s">
        <v>40</v>
      </c>
      <c r="B5" s="317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80"/>
      <c r="R5" s="81"/>
    </row>
    <row r="6" ht="12.75" customHeight="1">
      <c r="A6" s="82" t="s">
        <v>42</v>
      </c>
      <c r="B6" s="83"/>
      <c r="C6" s="82" t="s">
        <v>43</v>
      </c>
      <c r="D6" s="84"/>
      <c r="E6" s="84"/>
      <c r="F6" s="84"/>
      <c r="G6" s="84"/>
      <c r="H6" s="84"/>
      <c r="I6" s="84"/>
      <c r="J6" s="83"/>
      <c r="K6" s="85" t="s">
        <v>44</v>
      </c>
      <c r="L6" s="55"/>
      <c r="M6" s="55"/>
      <c r="N6" s="55"/>
      <c r="O6" s="55"/>
      <c r="P6" s="55"/>
      <c r="Q6" s="56"/>
      <c r="R6" s="86" t="s">
        <v>45</v>
      </c>
    </row>
    <row r="7" ht="12.75" customHeight="1">
      <c r="A7" s="87" t="s">
        <v>46</v>
      </c>
      <c r="B7" s="88"/>
      <c r="C7" s="89" t="s">
        <v>47</v>
      </c>
      <c r="D7" s="69"/>
      <c r="E7" s="69"/>
      <c r="F7" s="69"/>
      <c r="G7" s="69"/>
      <c r="H7" s="69"/>
      <c r="I7" s="69"/>
      <c r="J7" s="90"/>
      <c r="K7" s="91" t="s">
        <v>48</v>
      </c>
      <c r="L7" s="92"/>
      <c r="M7" s="92"/>
      <c r="N7" s="92"/>
      <c r="O7" s="92"/>
      <c r="P7" s="92"/>
      <c r="Q7" s="92"/>
      <c r="R7" s="93"/>
    </row>
    <row r="8" ht="12.75" customHeight="1">
      <c r="A8" s="94"/>
      <c r="B8" s="90"/>
      <c r="C8" s="95" t="s">
        <v>426</v>
      </c>
      <c r="D8" s="79"/>
      <c r="E8" s="79"/>
      <c r="F8" s="79"/>
      <c r="G8" s="79"/>
      <c r="H8" s="79"/>
      <c r="I8" s="79"/>
      <c r="J8" s="96"/>
      <c r="K8" s="97" t="s">
        <v>50</v>
      </c>
      <c r="L8" s="98" t="s">
        <v>51</v>
      </c>
      <c r="M8" s="98" t="s">
        <v>52</v>
      </c>
      <c r="N8" s="99" t="s">
        <v>53</v>
      </c>
      <c r="O8" s="100" t="s">
        <v>54</v>
      </c>
      <c r="P8" s="101"/>
      <c r="Q8" s="70"/>
      <c r="R8" s="102" t="s">
        <v>427</v>
      </c>
    </row>
    <row r="9" ht="12.75" customHeight="1">
      <c r="A9" s="103" t="s">
        <v>428</v>
      </c>
      <c r="B9" s="96"/>
      <c r="J9" s="88"/>
      <c r="K9" s="104" t="s">
        <v>258</v>
      </c>
      <c r="L9" s="105" t="s">
        <v>264</v>
      </c>
      <c r="M9" s="105"/>
      <c r="N9" s="107"/>
      <c r="O9" s="108" t="s">
        <v>58</v>
      </c>
      <c r="P9" s="109">
        <v>-3.0</v>
      </c>
      <c r="Q9" s="66"/>
      <c r="R9" s="110"/>
    </row>
    <row r="10" ht="12.75" customHeight="1">
      <c r="A10" s="111"/>
      <c r="B10" s="88"/>
      <c r="J10" s="88"/>
      <c r="K10" s="104" t="s">
        <v>259</v>
      </c>
      <c r="L10" s="112"/>
      <c r="M10" s="296"/>
      <c r="N10" s="113"/>
      <c r="O10" s="108" t="s">
        <v>59</v>
      </c>
      <c r="P10" s="109" t="s">
        <v>60</v>
      </c>
      <c r="Q10" s="66"/>
      <c r="R10" s="110"/>
    </row>
    <row r="11">
      <c r="A11" s="111"/>
      <c r="B11" s="88"/>
      <c r="J11" s="88"/>
      <c r="K11" s="104" t="s">
        <v>429</v>
      </c>
      <c r="L11" s="112">
        <v>4.0</v>
      </c>
      <c r="M11" s="296">
        <v>46005.0</v>
      </c>
      <c r="N11" s="391">
        <v>46008.0</v>
      </c>
      <c r="O11" s="115" t="s">
        <v>61</v>
      </c>
      <c r="P11" s="116" t="s">
        <v>65</v>
      </c>
      <c r="Q11" s="66"/>
      <c r="R11" s="110"/>
    </row>
    <row r="12">
      <c r="A12" s="111"/>
      <c r="B12" s="88"/>
      <c r="J12" s="88"/>
      <c r="K12" s="104"/>
      <c r="L12" s="112"/>
      <c r="M12" s="112"/>
      <c r="N12" s="113"/>
      <c r="O12" s="108" t="s">
        <v>63</v>
      </c>
      <c r="P12" s="116" t="s">
        <v>306</v>
      </c>
      <c r="Q12" s="66"/>
      <c r="R12" s="110"/>
    </row>
    <row r="13">
      <c r="A13" s="111"/>
      <c r="B13" s="88"/>
      <c r="C13" s="69"/>
      <c r="D13" s="69"/>
      <c r="E13" s="69"/>
      <c r="F13" s="69"/>
      <c r="G13" s="69"/>
      <c r="H13" s="69"/>
      <c r="I13" s="69"/>
      <c r="J13" s="90"/>
      <c r="K13" s="117"/>
      <c r="L13" s="118"/>
      <c r="M13" s="118"/>
      <c r="N13" s="119"/>
      <c r="O13" s="120" t="s">
        <v>64</v>
      </c>
      <c r="P13" s="121" t="s">
        <v>65</v>
      </c>
      <c r="Q13" s="80"/>
      <c r="R13" s="81"/>
    </row>
    <row r="14" ht="12.75" customHeight="1">
      <c r="A14" s="122" t="s">
        <v>66</v>
      </c>
      <c r="B14" s="123"/>
      <c r="C14" s="392" t="s">
        <v>67</v>
      </c>
      <c r="D14" s="47"/>
      <c r="E14" s="123"/>
      <c r="F14" s="392" t="s">
        <v>68</v>
      </c>
      <c r="G14" s="47"/>
      <c r="H14" s="123"/>
      <c r="I14" s="392" t="s">
        <v>69</v>
      </c>
      <c r="J14" s="123"/>
      <c r="K14" s="91" t="s">
        <v>70</v>
      </c>
      <c r="L14" s="92"/>
      <c r="M14" s="92"/>
      <c r="N14" s="92"/>
      <c r="O14" s="92"/>
      <c r="P14" s="92"/>
      <c r="Q14" s="92"/>
      <c r="R14" s="93"/>
    </row>
    <row r="15" ht="12.75" customHeight="1">
      <c r="A15" s="125" t="s">
        <v>71</v>
      </c>
      <c r="B15" s="126"/>
      <c r="C15" s="127" t="s">
        <v>72</v>
      </c>
      <c r="E15" s="128">
        <v>12.0</v>
      </c>
      <c r="F15" s="393" t="s">
        <v>37</v>
      </c>
      <c r="G15" s="394" t="s">
        <v>73</v>
      </c>
      <c r="H15" s="395" t="s">
        <v>74</v>
      </c>
      <c r="I15" s="396" t="s">
        <v>75</v>
      </c>
      <c r="J15" s="397">
        <v>20.0</v>
      </c>
      <c r="K15" s="97" t="s">
        <v>76</v>
      </c>
      <c r="L15" s="98" t="s">
        <v>51</v>
      </c>
      <c r="M15" s="98" t="s">
        <v>52</v>
      </c>
      <c r="N15" s="99" t="s">
        <v>53</v>
      </c>
      <c r="O15" s="134" t="s">
        <v>430</v>
      </c>
      <c r="P15" s="101">
        <v>97.0</v>
      </c>
      <c r="Q15" s="70"/>
      <c r="R15" s="102" t="s">
        <v>431</v>
      </c>
    </row>
    <row r="16" ht="12.75" customHeight="1">
      <c r="A16" s="135" t="s">
        <v>79</v>
      </c>
      <c r="B16" s="136" t="b">
        <v>0</v>
      </c>
      <c r="C16" s="137"/>
      <c r="D16" s="293" t="s">
        <v>80</v>
      </c>
      <c r="E16" s="293" t="s">
        <v>81</v>
      </c>
      <c r="F16" s="398">
        <v>46003.0</v>
      </c>
      <c r="G16" s="143" t="s">
        <v>432</v>
      </c>
      <c r="H16" s="298">
        <v>2000.0</v>
      </c>
      <c r="I16" s="141"/>
      <c r="J16" s="142"/>
      <c r="K16" s="104" t="s">
        <v>82</v>
      </c>
      <c r="L16" s="105">
        <v>4.0</v>
      </c>
      <c r="M16" s="105"/>
      <c r="N16" s="113"/>
      <c r="O16" s="108" t="s">
        <v>83</v>
      </c>
      <c r="P16" s="109">
        <v>80.0</v>
      </c>
      <c r="Q16" s="66"/>
      <c r="R16" s="110"/>
    </row>
    <row r="17" ht="12.75" customHeight="1">
      <c r="A17" s="135" t="s">
        <v>84</v>
      </c>
      <c r="B17" s="136" t="b">
        <v>0</v>
      </c>
      <c r="C17" s="297" t="s">
        <v>85</v>
      </c>
      <c r="D17" s="320">
        <v>67.0</v>
      </c>
      <c r="E17" s="322">
        <v>101.0</v>
      </c>
      <c r="F17" s="399">
        <v>46004.0</v>
      </c>
      <c r="G17" s="143" t="s">
        <v>433</v>
      </c>
      <c r="H17" s="298">
        <v>2500.0</v>
      </c>
      <c r="I17" s="396" t="s">
        <v>86</v>
      </c>
      <c r="J17" s="400">
        <v>2500.0</v>
      </c>
      <c r="K17" s="104" t="s">
        <v>88</v>
      </c>
      <c r="L17" s="105" t="s">
        <v>434</v>
      </c>
      <c r="M17" s="112"/>
      <c r="N17" s="107">
        <v>46003.0</v>
      </c>
      <c r="O17" s="108" t="s">
        <v>89</v>
      </c>
      <c r="P17" s="109">
        <v>3.0</v>
      </c>
      <c r="Q17" s="66"/>
      <c r="R17" s="110"/>
    </row>
    <row r="18" ht="12.75" customHeight="1">
      <c r="A18" s="146" t="s">
        <v>90</v>
      </c>
      <c r="B18" s="147" t="b">
        <v>1</v>
      </c>
      <c r="C18" s="297" t="s">
        <v>83</v>
      </c>
      <c r="D18" s="320">
        <v>82.0</v>
      </c>
      <c r="E18" s="140">
        <v>117.0</v>
      </c>
      <c r="F18" s="399">
        <v>46007.0</v>
      </c>
      <c r="G18" s="143" t="s">
        <v>433</v>
      </c>
      <c r="H18" s="298">
        <v>2500.0</v>
      </c>
      <c r="I18" s="141"/>
      <c r="J18" s="142"/>
      <c r="K18" s="104" t="s">
        <v>435</v>
      </c>
      <c r="L18" s="105" t="s">
        <v>436</v>
      </c>
      <c r="M18" s="296">
        <v>46007.0</v>
      </c>
      <c r="N18" s="321">
        <v>46008.0</v>
      </c>
      <c r="O18" s="149" t="s">
        <v>91</v>
      </c>
      <c r="P18" s="116" t="s">
        <v>92</v>
      </c>
      <c r="Q18" s="66"/>
      <c r="R18" s="110"/>
    </row>
    <row r="19" ht="12.75" customHeight="1">
      <c r="A19" s="122" t="s">
        <v>93</v>
      </c>
      <c r="B19" s="123"/>
      <c r="C19" s="297" t="s">
        <v>94</v>
      </c>
      <c r="D19" s="320">
        <v>16.0</v>
      </c>
      <c r="E19" s="322">
        <v>19.0</v>
      </c>
      <c r="F19" s="401">
        <v>46008.0</v>
      </c>
      <c r="G19" s="143" t="s">
        <v>437</v>
      </c>
      <c r="H19" s="298">
        <v>2500.0</v>
      </c>
      <c r="I19" s="396" t="s">
        <v>95</v>
      </c>
      <c r="J19" s="402">
        <v>-778.0</v>
      </c>
      <c r="K19" s="104"/>
      <c r="L19" s="105"/>
      <c r="M19" s="112"/>
      <c r="N19" s="148"/>
      <c r="O19" s="149" t="s">
        <v>96</v>
      </c>
      <c r="P19" s="116" t="s">
        <v>65</v>
      </c>
      <c r="Q19" s="66"/>
      <c r="R19" s="110"/>
    </row>
    <row r="20" ht="12.75" customHeight="1">
      <c r="A20" s="135" t="s">
        <v>97</v>
      </c>
      <c r="B20" s="136" t="b">
        <v>1</v>
      </c>
      <c r="C20" s="297" t="s">
        <v>98</v>
      </c>
      <c r="D20" s="323">
        <v>36.0</v>
      </c>
      <c r="E20" s="322" t="s">
        <v>438</v>
      </c>
      <c r="F20" s="403" t="s">
        <v>99</v>
      </c>
      <c r="G20" s="74"/>
      <c r="H20" s="126"/>
      <c r="I20" s="141"/>
      <c r="J20" s="142"/>
      <c r="K20" s="117"/>
      <c r="L20" s="153"/>
      <c r="M20" s="118"/>
      <c r="N20" s="119"/>
      <c r="O20" s="120" t="s">
        <v>100</v>
      </c>
      <c r="P20" s="121" t="s">
        <v>92</v>
      </c>
      <c r="Q20" s="80"/>
      <c r="R20" s="81"/>
    </row>
    <row r="21" ht="12.75" customHeight="1">
      <c r="A21" s="135" t="s">
        <v>101</v>
      </c>
      <c r="B21" s="136" t="b">
        <v>0</v>
      </c>
      <c r="C21" s="297" t="s">
        <v>102</v>
      </c>
      <c r="D21" s="320">
        <v>94.0</v>
      </c>
      <c r="E21" s="140">
        <v>98.0</v>
      </c>
      <c r="F21" s="404"/>
      <c r="G21" s="66"/>
      <c r="H21" s="298"/>
      <c r="I21" s="403" t="s">
        <v>104</v>
      </c>
      <c r="J21" s="126"/>
      <c r="K21" s="91" t="s">
        <v>105</v>
      </c>
      <c r="L21" s="92"/>
      <c r="M21" s="92"/>
      <c r="N21" s="92"/>
      <c r="O21" s="92"/>
      <c r="P21" s="92"/>
      <c r="Q21" s="92"/>
      <c r="R21" s="93"/>
    </row>
    <row r="22" ht="12.75" customHeight="1">
      <c r="A22" s="146" t="s">
        <v>106</v>
      </c>
      <c r="B22" s="147" t="b">
        <v>0</v>
      </c>
      <c r="C22" s="297" t="s">
        <v>107</v>
      </c>
      <c r="D22" s="320">
        <v>136.0</v>
      </c>
      <c r="E22" s="322">
        <v>241.0</v>
      </c>
      <c r="F22" s="404"/>
      <c r="G22" s="66"/>
      <c r="H22" s="298"/>
      <c r="I22" s="405" t="s">
        <v>439</v>
      </c>
      <c r="J22" s="96"/>
      <c r="K22" s="301" t="s">
        <v>108</v>
      </c>
      <c r="L22" s="302" t="s">
        <v>230</v>
      </c>
      <c r="M22" s="303" t="s">
        <v>110</v>
      </c>
      <c r="N22" s="304" t="s">
        <v>440</v>
      </c>
      <c r="O22" s="160" t="s">
        <v>111</v>
      </c>
      <c r="P22" s="157">
        <v>23.0</v>
      </c>
      <c r="Q22" s="161" t="s">
        <v>112</v>
      </c>
      <c r="R22" s="102" t="s">
        <v>441</v>
      </c>
    </row>
    <row r="23" ht="12.75" customHeight="1">
      <c r="A23" s="122" t="s">
        <v>114</v>
      </c>
      <c r="B23" s="123"/>
      <c r="C23" s="139"/>
      <c r="D23" s="143"/>
      <c r="E23" s="322"/>
      <c r="F23" s="406"/>
      <c r="G23" s="165"/>
      <c r="H23" s="407"/>
      <c r="I23" s="166"/>
      <c r="J23" s="167"/>
      <c r="K23" s="168" t="s">
        <v>115</v>
      </c>
      <c r="L23" s="169"/>
      <c r="M23" s="170" t="s">
        <v>94</v>
      </c>
      <c r="N23" s="408">
        <v>17.0</v>
      </c>
      <c r="O23" s="170" t="s">
        <v>116</v>
      </c>
      <c r="P23" s="169"/>
      <c r="Q23" s="171"/>
      <c r="R23" s="110"/>
    </row>
    <row r="24" ht="12.75" customHeight="1">
      <c r="A24" s="103" t="s">
        <v>442</v>
      </c>
      <c r="B24" s="96"/>
      <c r="C24" s="122" t="s">
        <v>118</v>
      </c>
      <c r="D24" s="47"/>
      <c r="E24" s="123"/>
      <c r="F24" s="172" t="s">
        <v>119</v>
      </c>
      <c r="G24" s="47"/>
      <c r="H24" s="47"/>
      <c r="I24" s="47"/>
      <c r="J24" s="123"/>
      <c r="K24" s="168" t="s">
        <v>120</v>
      </c>
      <c r="L24" s="169"/>
      <c r="M24" s="170" t="s">
        <v>121</v>
      </c>
      <c r="N24" s="169">
        <v>21.0</v>
      </c>
      <c r="O24" s="170" t="s">
        <v>122</v>
      </c>
      <c r="P24" s="169"/>
      <c r="Q24" s="173" t="s">
        <v>123</v>
      </c>
      <c r="R24" s="110"/>
    </row>
    <row r="25" ht="12.75" customHeight="1">
      <c r="A25" s="111"/>
      <c r="B25" s="88"/>
      <c r="C25" s="174"/>
      <c r="D25" s="409" t="s">
        <v>124</v>
      </c>
      <c r="E25" s="176" t="s">
        <v>125</v>
      </c>
      <c r="F25" s="177" t="s">
        <v>37</v>
      </c>
      <c r="G25" s="178" t="s">
        <v>126</v>
      </c>
      <c r="H25" s="179" t="s">
        <v>127</v>
      </c>
      <c r="I25" s="74"/>
      <c r="J25" s="126"/>
      <c r="K25" s="168" t="s">
        <v>128</v>
      </c>
      <c r="L25" s="169">
        <v>30.0</v>
      </c>
      <c r="M25" s="170" t="s">
        <v>129</v>
      </c>
      <c r="N25" s="169">
        <v>5.0</v>
      </c>
      <c r="O25" s="170" t="s">
        <v>130</v>
      </c>
      <c r="P25" s="169"/>
      <c r="Q25" s="171"/>
      <c r="R25" s="110"/>
    </row>
    <row r="26" ht="12.75" customHeight="1">
      <c r="A26" s="111"/>
      <c r="B26" s="88"/>
      <c r="C26" s="410" t="s">
        <v>132</v>
      </c>
      <c r="D26" s="411">
        <v>6.7</v>
      </c>
      <c r="E26" s="411">
        <v>7.5</v>
      </c>
      <c r="F26" s="185"/>
      <c r="G26" s="186"/>
      <c r="H26" s="187"/>
      <c r="I26" s="74"/>
      <c r="J26" s="126"/>
      <c r="K26" s="168" t="s">
        <v>135</v>
      </c>
      <c r="L26" s="184">
        <v>30.0</v>
      </c>
      <c r="M26" s="170" t="s">
        <v>136</v>
      </c>
      <c r="N26" s="169">
        <v>8.0</v>
      </c>
      <c r="O26" s="170" t="s">
        <v>137</v>
      </c>
      <c r="P26" s="169"/>
      <c r="Q26" s="173" t="s">
        <v>138</v>
      </c>
      <c r="R26" s="110"/>
    </row>
    <row r="27" ht="17.25" customHeight="1">
      <c r="A27" s="111"/>
      <c r="B27" s="88"/>
      <c r="C27" s="410" t="s">
        <v>139</v>
      </c>
      <c r="D27" s="412">
        <v>21.0</v>
      </c>
      <c r="E27" s="412">
        <v>21.0</v>
      </c>
      <c r="F27" s="185"/>
      <c r="G27" s="186"/>
      <c r="H27" s="187"/>
      <c r="I27" s="74"/>
      <c r="J27" s="126"/>
      <c r="K27" s="188" t="s">
        <v>140</v>
      </c>
      <c r="L27" s="189">
        <v>30.0</v>
      </c>
      <c r="M27" s="190" t="s">
        <v>141</v>
      </c>
      <c r="N27" s="189"/>
      <c r="O27" s="190" t="s">
        <v>142</v>
      </c>
      <c r="P27" s="189"/>
      <c r="Q27" s="180" t="s">
        <v>443</v>
      </c>
      <c r="R27" s="81"/>
    </row>
    <row r="28" ht="12.75" customHeight="1">
      <c r="A28" s="166"/>
      <c r="B28" s="167"/>
      <c r="C28" s="410" t="s">
        <v>143</v>
      </c>
      <c r="D28" s="412">
        <v>22.0</v>
      </c>
      <c r="E28" s="412">
        <v>18350.0</v>
      </c>
      <c r="F28" s="185"/>
      <c r="G28" s="186"/>
      <c r="H28" s="187"/>
      <c r="I28" s="74"/>
      <c r="J28" s="126"/>
      <c r="K28" s="91" t="s">
        <v>144</v>
      </c>
      <c r="L28" s="92"/>
      <c r="M28" s="92"/>
      <c r="N28" s="92"/>
      <c r="O28" s="92"/>
      <c r="P28" s="92"/>
      <c r="Q28" s="92"/>
      <c r="R28" s="93"/>
    </row>
    <row r="29" ht="12.75" customHeight="1">
      <c r="A29" s="124" t="s">
        <v>145</v>
      </c>
      <c r="B29" s="123"/>
      <c r="C29" s="410" t="s">
        <v>146</v>
      </c>
      <c r="D29" s="412"/>
      <c r="E29" s="412"/>
      <c r="F29" s="185"/>
      <c r="G29" s="186"/>
      <c r="H29" s="187"/>
      <c r="I29" s="74"/>
      <c r="J29" s="126"/>
      <c r="K29" s="192" t="s">
        <v>5</v>
      </c>
      <c r="L29" s="193" t="s">
        <v>147</v>
      </c>
      <c r="M29" s="70"/>
      <c r="N29" s="194" t="s">
        <v>148</v>
      </c>
      <c r="O29" s="195" t="s">
        <v>103</v>
      </c>
      <c r="P29" s="196" t="s">
        <v>149</v>
      </c>
      <c r="Q29" s="197">
        <v>131.0</v>
      </c>
      <c r="R29" s="102" t="s">
        <v>444</v>
      </c>
    </row>
    <row r="30" ht="12.75" customHeight="1">
      <c r="A30" s="139" t="s">
        <v>151</v>
      </c>
      <c r="B30" s="140" t="s">
        <v>445</v>
      </c>
      <c r="C30" s="410" t="s">
        <v>153</v>
      </c>
      <c r="D30" s="411">
        <v>48.0</v>
      </c>
      <c r="E30" s="411">
        <v>60.0</v>
      </c>
      <c r="F30" s="185"/>
      <c r="G30" s="186"/>
      <c r="H30" s="187"/>
      <c r="I30" s="74"/>
      <c r="J30" s="126"/>
      <c r="K30" s="199" t="s">
        <v>154</v>
      </c>
      <c r="L30" s="169">
        <v>58.0</v>
      </c>
      <c r="M30" s="173" t="s">
        <v>156</v>
      </c>
      <c r="N30" s="66"/>
      <c r="O30" s="169" t="s">
        <v>446</v>
      </c>
      <c r="P30" s="200" t="s">
        <v>158</v>
      </c>
      <c r="Q30" s="201" t="s">
        <v>159</v>
      </c>
      <c r="R30" s="110"/>
    </row>
    <row r="31" ht="12.75" customHeight="1">
      <c r="A31" s="139" t="s">
        <v>160</v>
      </c>
      <c r="B31" s="140" t="s">
        <v>280</v>
      </c>
      <c r="C31" s="410" t="s">
        <v>162</v>
      </c>
      <c r="D31" s="411">
        <v>117.0</v>
      </c>
      <c r="E31" s="411">
        <v>168.0</v>
      </c>
      <c r="F31" s="139"/>
      <c r="G31" s="112"/>
      <c r="H31" s="187"/>
      <c r="I31" s="74"/>
      <c r="J31" s="126"/>
      <c r="K31" s="168" t="s">
        <v>163</v>
      </c>
      <c r="L31" s="202" t="s">
        <v>92</v>
      </c>
      <c r="M31" s="66"/>
      <c r="N31" s="203" t="s">
        <v>447</v>
      </c>
      <c r="O31" s="79"/>
      <c r="P31" s="79"/>
      <c r="Q31" s="80"/>
      <c r="R31" s="110"/>
    </row>
    <row r="32" ht="12.75" customHeight="1">
      <c r="A32" s="139" t="s">
        <v>165</v>
      </c>
      <c r="B32" s="140" t="s">
        <v>448</v>
      </c>
      <c r="C32" s="410" t="s">
        <v>167</v>
      </c>
      <c r="D32" s="411">
        <v>4.5</v>
      </c>
      <c r="E32" s="411">
        <v>4.8</v>
      </c>
      <c r="F32" s="139"/>
      <c r="G32" s="112"/>
      <c r="H32" s="187"/>
      <c r="I32" s="74"/>
      <c r="J32" s="126"/>
      <c r="K32" s="204" t="s">
        <v>168</v>
      </c>
      <c r="L32" s="116" t="s">
        <v>92</v>
      </c>
      <c r="M32" s="66"/>
      <c r="N32" s="205"/>
      <c r="Q32" s="206"/>
      <c r="R32" s="110"/>
    </row>
    <row r="33" ht="12.75" customHeight="1">
      <c r="A33" s="135" t="s">
        <v>169</v>
      </c>
      <c r="B33" s="136">
        <v>70.0</v>
      </c>
      <c r="C33" s="410" t="s">
        <v>170</v>
      </c>
      <c r="D33" s="411"/>
      <c r="E33" s="411"/>
      <c r="F33" s="139"/>
      <c r="G33" s="112"/>
      <c r="H33" s="187"/>
      <c r="I33" s="74"/>
      <c r="J33" s="126"/>
      <c r="K33" s="204" t="s">
        <v>171</v>
      </c>
      <c r="L33" s="116" t="s">
        <v>65</v>
      </c>
      <c r="M33" s="66"/>
      <c r="N33" s="205"/>
      <c r="Q33" s="206"/>
      <c r="R33" s="110"/>
    </row>
    <row r="34" ht="12.75" customHeight="1">
      <c r="A34" s="174" t="s">
        <v>172</v>
      </c>
      <c r="B34" s="136">
        <v>80.0</v>
      </c>
      <c r="C34" s="410" t="s">
        <v>173</v>
      </c>
      <c r="D34" s="411">
        <v>3.3</v>
      </c>
      <c r="E34" s="411">
        <v>3.2</v>
      </c>
      <c r="F34" s="207"/>
      <c r="G34" s="162"/>
      <c r="H34" s="208"/>
      <c r="I34" s="209"/>
      <c r="J34" s="210"/>
      <c r="K34" s="211" t="s">
        <v>174</v>
      </c>
      <c r="L34" s="121" t="s">
        <v>65</v>
      </c>
      <c r="M34" s="80"/>
      <c r="N34" s="68"/>
      <c r="O34" s="69"/>
      <c r="P34" s="69"/>
      <c r="Q34" s="70"/>
      <c r="R34" s="81"/>
    </row>
    <row r="35" ht="12.75" customHeight="1">
      <c r="A35" s="212" t="s">
        <v>175</v>
      </c>
      <c r="B35" s="147">
        <v>85.8</v>
      </c>
      <c r="C35" s="410" t="s">
        <v>176</v>
      </c>
      <c r="D35" s="411">
        <v>7.0</v>
      </c>
      <c r="E35" s="411"/>
      <c r="F35" s="124" t="s">
        <v>177</v>
      </c>
      <c r="G35" s="47"/>
      <c r="H35" s="47"/>
      <c r="I35" s="47"/>
      <c r="J35" s="123"/>
      <c r="K35" s="91" t="s">
        <v>178</v>
      </c>
      <c r="L35" s="92"/>
      <c r="M35" s="92"/>
      <c r="N35" s="92"/>
      <c r="O35" s="92"/>
      <c r="P35" s="92"/>
      <c r="Q35" s="92"/>
      <c r="R35" s="93"/>
    </row>
    <row r="36" ht="18.75" customHeight="1">
      <c r="A36" s="213" t="s">
        <v>179</v>
      </c>
      <c r="B36" s="123"/>
      <c r="C36" s="410" t="s">
        <v>180</v>
      </c>
      <c r="D36" s="411"/>
      <c r="E36" s="411"/>
      <c r="F36" s="129" t="s">
        <v>37</v>
      </c>
      <c r="G36" s="130" t="s">
        <v>126</v>
      </c>
      <c r="H36" s="214" t="s">
        <v>127</v>
      </c>
      <c r="I36" s="74"/>
      <c r="J36" s="126"/>
      <c r="K36" s="215" t="s">
        <v>181</v>
      </c>
      <c r="L36" s="216" t="s">
        <v>65</v>
      </c>
      <c r="M36" s="70"/>
      <c r="N36" s="217" t="s">
        <v>182</v>
      </c>
      <c r="Q36" s="206"/>
      <c r="R36" s="102" t="s">
        <v>449</v>
      </c>
    </row>
    <row r="37" ht="12.75" customHeight="1">
      <c r="A37" s="218" t="s">
        <v>450</v>
      </c>
      <c r="B37" s="96"/>
      <c r="C37" s="135" t="s">
        <v>185</v>
      </c>
      <c r="D37" s="136">
        <v>2.2</v>
      </c>
      <c r="E37" s="136"/>
      <c r="F37" s="139" t="s">
        <v>451</v>
      </c>
      <c r="G37" s="112" t="s">
        <v>293</v>
      </c>
      <c r="H37" s="116" t="s">
        <v>452</v>
      </c>
      <c r="I37" s="74"/>
      <c r="J37" s="126"/>
      <c r="K37" s="204" t="s">
        <v>188</v>
      </c>
      <c r="L37" s="116" t="s">
        <v>65</v>
      </c>
      <c r="M37" s="66"/>
      <c r="N37" s="205"/>
      <c r="Q37" s="206"/>
      <c r="R37" s="110"/>
    </row>
    <row r="38" ht="12.75" customHeight="1">
      <c r="A38" s="111"/>
      <c r="B38" s="88"/>
      <c r="C38" s="135" t="s">
        <v>189</v>
      </c>
      <c r="D38" s="219"/>
      <c r="E38" s="220"/>
      <c r="F38" s="222">
        <v>46005.0</v>
      </c>
      <c r="G38" s="112" t="s">
        <v>293</v>
      </c>
      <c r="H38" s="116"/>
      <c r="I38" s="74"/>
      <c r="J38" s="126"/>
      <c r="K38" s="223" t="s">
        <v>190</v>
      </c>
      <c r="L38" s="224">
        <f>(J15/Q29)/E15</f>
        <v>0.01272264631</v>
      </c>
      <c r="M38" s="66"/>
      <c r="N38" s="205"/>
      <c r="Q38" s="206"/>
      <c r="R38" s="110"/>
    </row>
    <row r="39" ht="12.75" customHeight="1">
      <c r="A39" s="111"/>
      <c r="B39" s="88"/>
      <c r="C39" s="135" t="s">
        <v>191</v>
      </c>
      <c r="D39" s="219"/>
      <c r="E39" s="220"/>
      <c r="F39" s="222"/>
      <c r="G39" s="112"/>
      <c r="H39" s="116"/>
      <c r="I39" s="74"/>
      <c r="J39" s="126"/>
      <c r="K39" s="204" t="s">
        <v>192</v>
      </c>
      <c r="L39" s="116" t="s">
        <v>65</v>
      </c>
      <c r="M39" s="66"/>
      <c r="N39" s="205"/>
      <c r="Q39" s="206"/>
      <c r="R39" s="110"/>
    </row>
    <row r="40" ht="12.75" customHeight="1">
      <c r="A40" s="111"/>
      <c r="B40" s="88"/>
      <c r="C40" s="135" t="s">
        <v>193</v>
      </c>
      <c r="D40" s="219"/>
      <c r="E40" s="220"/>
      <c r="F40" s="139"/>
      <c r="G40" s="112"/>
      <c r="H40" s="116"/>
      <c r="I40" s="74"/>
      <c r="J40" s="126"/>
      <c r="K40" s="211" t="s">
        <v>194</v>
      </c>
      <c r="L40" s="121"/>
      <c r="M40" s="80"/>
      <c r="N40" s="68"/>
      <c r="O40" s="69"/>
      <c r="P40" s="69"/>
      <c r="Q40" s="70"/>
      <c r="R40" s="81"/>
    </row>
    <row r="41" ht="12.75" customHeight="1">
      <c r="A41" s="111"/>
      <c r="B41" s="88"/>
      <c r="C41" s="135" t="s">
        <v>195</v>
      </c>
      <c r="D41" s="225"/>
      <c r="E41" s="220"/>
      <c r="F41" s="139"/>
      <c r="G41" s="112"/>
      <c r="H41" s="116"/>
      <c r="I41" s="74"/>
      <c r="J41" s="126"/>
      <c r="K41" s="91" t="s">
        <v>196</v>
      </c>
      <c r="L41" s="92"/>
      <c r="M41" s="92"/>
      <c r="N41" s="92"/>
      <c r="O41" s="92"/>
      <c r="P41" s="92"/>
      <c r="Q41" s="92"/>
      <c r="R41" s="93"/>
    </row>
    <row r="42" ht="12.75" customHeight="1">
      <c r="A42" s="111"/>
      <c r="B42" s="88"/>
      <c r="C42" s="310" t="s">
        <v>197</v>
      </c>
      <c r="D42" s="227"/>
      <c r="E42" s="228"/>
      <c r="F42" s="207"/>
      <c r="G42" s="162"/>
      <c r="H42" s="229"/>
      <c r="I42" s="209"/>
      <c r="J42" s="210"/>
      <c r="K42" s="230" t="s">
        <v>198</v>
      </c>
      <c r="L42" s="70"/>
      <c r="M42" s="231" t="s">
        <v>92</v>
      </c>
      <c r="N42" s="70"/>
      <c r="O42" s="232" t="s">
        <v>199</v>
      </c>
      <c r="P42" s="232" t="s">
        <v>200</v>
      </c>
      <c r="Q42" s="233" t="s">
        <v>53</v>
      </c>
      <c r="R42" s="102" t="s">
        <v>453</v>
      </c>
    </row>
    <row r="43" ht="19.5" customHeight="1">
      <c r="A43" s="111"/>
      <c r="B43" s="88"/>
      <c r="C43" s="413" t="s">
        <v>202</v>
      </c>
      <c r="D43" s="235"/>
      <c r="E43" s="236"/>
      <c r="F43" s="237" t="s">
        <v>203</v>
      </c>
      <c r="G43" s="47"/>
      <c r="H43" s="47"/>
      <c r="I43" s="47"/>
      <c r="J43" s="123"/>
      <c r="K43" s="238" t="s">
        <v>204</v>
      </c>
      <c r="L43" s="66"/>
      <c r="M43" s="239" t="s">
        <v>92</v>
      </c>
      <c r="N43" s="66"/>
      <c r="O43" s="240" t="s">
        <v>454</v>
      </c>
      <c r="P43" s="241">
        <v>45995.0</v>
      </c>
      <c r="Q43" s="242">
        <v>45659.0</v>
      </c>
      <c r="R43" s="110"/>
    </row>
    <row r="44" ht="12.75" customHeight="1">
      <c r="A44" s="111"/>
      <c r="B44" s="88"/>
      <c r="C44" s="414" t="s">
        <v>296</v>
      </c>
      <c r="D44" s="415"/>
      <c r="E44" s="416">
        <v>0.10416666666666667</v>
      </c>
      <c r="F44" s="246" t="s">
        <v>126</v>
      </c>
      <c r="G44" s="247" t="s">
        <v>206</v>
      </c>
      <c r="H44" s="178" t="s">
        <v>207</v>
      </c>
      <c r="I44" s="178" t="s">
        <v>208</v>
      </c>
      <c r="J44" s="248" t="s">
        <v>209</v>
      </c>
      <c r="K44" s="238" t="s">
        <v>210</v>
      </c>
      <c r="L44" s="66"/>
      <c r="M44" s="239" t="s">
        <v>92</v>
      </c>
      <c r="N44" s="66"/>
      <c r="O44" s="249" t="s">
        <v>455</v>
      </c>
      <c r="P44" s="250">
        <v>45995.0</v>
      </c>
      <c r="Q44" s="417">
        <v>45659.0</v>
      </c>
      <c r="R44" s="110"/>
    </row>
    <row r="45" ht="12.75" customHeight="1">
      <c r="A45" s="111"/>
      <c r="B45" s="88"/>
      <c r="C45" s="414" t="s">
        <v>212</v>
      </c>
      <c r="D45" s="418">
        <v>7.26</v>
      </c>
      <c r="E45" s="419">
        <v>7.28</v>
      </c>
      <c r="F45" s="254" t="s">
        <v>456</v>
      </c>
      <c r="G45" s="112" t="s">
        <v>457</v>
      </c>
      <c r="H45" s="420"/>
      <c r="I45" s="420">
        <v>46000.0</v>
      </c>
      <c r="J45" s="420"/>
      <c r="K45" s="238" t="s">
        <v>215</v>
      </c>
      <c r="L45" s="66"/>
      <c r="M45" s="239" t="s">
        <v>92</v>
      </c>
      <c r="N45" s="66"/>
      <c r="O45" s="240"/>
      <c r="P45" s="256"/>
      <c r="Q45" s="258"/>
      <c r="R45" s="110"/>
    </row>
    <row r="46" ht="12.75" customHeight="1">
      <c r="A46" s="111"/>
      <c r="B46" s="88"/>
      <c r="C46" s="414" t="s">
        <v>217</v>
      </c>
      <c r="D46" s="421">
        <v>44.0</v>
      </c>
      <c r="E46" s="419">
        <v>39.0</v>
      </c>
      <c r="F46" s="254" t="s">
        <v>458</v>
      </c>
      <c r="G46" s="112" t="s">
        <v>300</v>
      </c>
      <c r="H46" s="112" t="s">
        <v>459</v>
      </c>
      <c r="I46" s="420">
        <v>45995.0</v>
      </c>
      <c r="J46" s="420"/>
      <c r="K46" s="238" t="s">
        <v>220</v>
      </c>
      <c r="L46" s="66"/>
      <c r="M46" s="239" t="s">
        <v>92</v>
      </c>
      <c r="N46" s="66"/>
      <c r="O46" s="240"/>
      <c r="P46" s="240"/>
      <c r="Q46" s="258"/>
      <c r="R46" s="110"/>
    </row>
    <row r="47" ht="12.75" customHeight="1">
      <c r="A47" s="111"/>
      <c r="B47" s="88"/>
      <c r="C47" s="414" t="s">
        <v>222</v>
      </c>
      <c r="D47" s="421">
        <v>67.0</v>
      </c>
      <c r="E47" s="419">
        <v>128.0</v>
      </c>
      <c r="F47" s="254" t="s">
        <v>460</v>
      </c>
      <c r="G47" s="112"/>
      <c r="H47" s="112" t="s">
        <v>461</v>
      </c>
      <c r="I47" s="259">
        <v>46006.0</v>
      </c>
      <c r="J47" s="420"/>
      <c r="K47" s="260" t="s">
        <v>225</v>
      </c>
      <c r="L47" s="80"/>
      <c r="M47" s="121" t="s">
        <v>303</v>
      </c>
      <c r="N47" s="80"/>
      <c r="O47" s="261"/>
      <c r="P47" s="261"/>
      <c r="Q47" s="262"/>
      <c r="R47" s="81"/>
    </row>
    <row r="48" ht="12.75" customHeight="1">
      <c r="A48" s="111"/>
      <c r="B48" s="88"/>
      <c r="C48" s="414" t="s">
        <v>226</v>
      </c>
      <c r="D48" s="421">
        <v>19.0</v>
      </c>
      <c r="E48" s="419">
        <v>18.0</v>
      </c>
      <c r="F48" s="254" t="s">
        <v>462</v>
      </c>
      <c r="G48" s="112"/>
      <c r="H48" s="112">
        <v>22.0</v>
      </c>
      <c r="I48" s="420">
        <v>46000.0</v>
      </c>
      <c r="J48" s="420">
        <v>46005.0</v>
      </c>
      <c r="K48" s="91" t="s">
        <v>228</v>
      </c>
      <c r="L48" s="92"/>
      <c r="M48" s="92"/>
      <c r="N48" s="92"/>
      <c r="O48" s="92"/>
      <c r="P48" s="92"/>
      <c r="Q48" s="92"/>
      <c r="R48" s="93"/>
    </row>
    <row r="49" ht="12.75" customHeight="1">
      <c r="A49" s="111"/>
      <c r="B49" s="88"/>
      <c r="C49" s="414" t="s">
        <v>229</v>
      </c>
      <c r="D49" s="421">
        <v>-7.5</v>
      </c>
      <c r="E49" s="419">
        <v>-8.0</v>
      </c>
      <c r="F49" s="254" t="s">
        <v>463</v>
      </c>
      <c r="G49" s="112" t="s">
        <v>464</v>
      </c>
      <c r="H49" s="112"/>
      <c r="I49" s="259">
        <v>46000.0</v>
      </c>
      <c r="J49" s="140"/>
      <c r="K49" s="192" t="s">
        <v>232</v>
      </c>
      <c r="L49" s="193" t="s">
        <v>465</v>
      </c>
      <c r="M49" s="69"/>
      <c r="N49" s="70"/>
      <c r="O49" s="194" t="s">
        <v>234</v>
      </c>
      <c r="P49" s="265" t="s">
        <v>466</v>
      </c>
      <c r="Q49" s="70"/>
      <c r="R49" s="102" t="s">
        <v>467</v>
      </c>
    </row>
    <row r="50" ht="12.75" customHeight="1">
      <c r="A50" s="111"/>
      <c r="B50" s="88"/>
      <c r="C50" s="414" t="s">
        <v>237</v>
      </c>
      <c r="D50" s="418">
        <v>90.0</v>
      </c>
      <c r="E50" s="419">
        <v>98.0</v>
      </c>
      <c r="F50" s="254" t="s">
        <v>468</v>
      </c>
      <c r="G50" s="112"/>
      <c r="H50" s="112">
        <v>23.0</v>
      </c>
      <c r="I50" s="296">
        <v>46005.0</v>
      </c>
      <c r="J50" s="140"/>
      <c r="K50" s="266" t="s">
        <v>238</v>
      </c>
      <c r="L50" s="267" t="s">
        <v>233</v>
      </c>
      <c r="M50" s="66"/>
      <c r="N50" s="268" t="s">
        <v>240</v>
      </c>
      <c r="O50" s="66"/>
      <c r="P50" s="269"/>
      <c r="Q50" s="66"/>
      <c r="R50" s="110"/>
    </row>
    <row r="51" ht="12.75" customHeight="1">
      <c r="A51" s="111"/>
      <c r="B51" s="88"/>
      <c r="C51" s="414" t="s">
        <v>241</v>
      </c>
      <c r="D51" s="421"/>
      <c r="E51" s="419">
        <v>512.0</v>
      </c>
      <c r="F51" s="270"/>
      <c r="G51" s="259"/>
      <c r="H51" s="259"/>
      <c r="I51" s="259"/>
      <c r="J51" s="140"/>
      <c r="K51" s="266" t="s">
        <v>242</v>
      </c>
      <c r="L51" s="267" t="s">
        <v>65</v>
      </c>
      <c r="M51" s="66"/>
      <c r="N51" s="271" t="s">
        <v>469</v>
      </c>
      <c r="O51" s="79"/>
      <c r="P51" s="79"/>
      <c r="Q51" s="80"/>
      <c r="R51" s="110"/>
    </row>
    <row r="52" ht="12.75" customHeight="1">
      <c r="A52" s="111"/>
      <c r="B52" s="88"/>
      <c r="C52" s="414"/>
      <c r="D52" s="421"/>
      <c r="E52" s="419"/>
      <c r="F52" s="254"/>
      <c r="G52" s="112"/>
      <c r="H52" s="112"/>
      <c r="I52" s="112"/>
      <c r="J52" s="263"/>
      <c r="K52" s="266" t="s">
        <v>244</v>
      </c>
      <c r="L52" s="267" t="s">
        <v>65</v>
      </c>
      <c r="M52" s="66"/>
      <c r="N52" s="205"/>
      <c r="Q52" s="206"/>
      <c r="R52" s="110"/>
    </row>
    <row r="53" ht="12.75" customHeight="1">
      <c r="A53" s="111"/>
      <c r="B53" s="88"/>
      <c r="C53" s="422" t="s">
        <v>245</v>
      </c>
      <c r="D53" s="423"/>
      <c r="E53" s="424"/>
      <c r="F53" s="254"/>
      <c r="G53" s="112"/>
      <c r="H53" s="112"/>
      <c r="I53" s="112"/>
      <c r="J53" s="263"/>
      <c r="K53" s="266" t="s">
        <v>246</v>
      </c>
      <c r="L53" s="267" t="s">
        <v>65</v>
      </c>
      <c r="M53" s="66"/>
      <c r="N53" s="205"/>
      <c r="Q53" s="206"/>
      <c r="R53" s="110"/>
    </row>
    <row r="54" ht="12.75" customHeight="1">
      <c r="A54" s="166"/>
      <c r="B54" s="167"/>
      <c r="C54" s="275"/>
      <c r="D54" s="276"/>
      <c r="E54" s="277"/>
      <c r="F54" s="278"/>
      <c r="G54" s="118"/>
      <c r="H54" s="118"/>
      <c r="I54" s="118"/>
      <c r="J54" s="279"/>
      <c r="K54" s="188" t="s">
        <v>247</v>
      </c>
      <c r="L54" s="180">
        <v>0.0</v>
      </c>
      <c r="M54" s="80"/>
      <c r="N54" s="280"/>
      <c r="O54" s="281"/>
      <c r="P54" s="281"/>
      <c r="Q54" s="282"/>
      <c r="R54" s="81"/>
    </row>
    <row r="55" ht="18.75" customHeight="1">
      <c r="A55" s="283" t="s">
        <v>248</v>
      </c>
      <c r="B55" s="315" t="s">
        <v>470</v>
      </c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285"/>
      <c r="Q55" s="285"/>
      <c r="R55" s="286"/>
    </row>
    <row r="56" ht="18.75" customHeight="1">
      <c r="A56" s="287"/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8"/>
      <c r="P56" s="288"/>
      <c r="Q56" s="288"/>
      <c r="R56" s="289"/>
    </row>
  </sheetData>
  <mergeCells count="126">
    <mergeCell ref="B4:Q4"/>
    <mergeCell ref="B5:Q5"/>
    <mergeCell ref="A6:B6"/>
    <mergeCell ref="C6:J6"/>
    <mergeCell ref="K6:Q6"/>
    <mergeCell ref="R8:R13"/>
    <mergeCell ref="P13:Q13"/>
    <mergeCell ref="K14:R14"/>
    <mergeCell ref="C8:J13"/>
    <mergeCell ref="C14:E14"/>
    <mergeCell ref="F14:H14"/>
    <mergeCell ref="I14:J14"/>
    <mergeCell ref="C15:D15"/>
    <mergeCell ref="I15:I16"/>
    <mergeCell ref="J15:J16"/>
    <mergeCell ref="I21:J21"/>
    <mergeCell ref="I22:J23"/>
    <mergeCell ref="I17:I18"/>
    <mergeCell ref="J17:J18"/>
    <mergeCell ref="I19:I20"/>
    <mergeCell ref="J19:J20"/>
    <mergeCell ref="F20:H20"/>
    <mergeCell ref="F21:G21"/>
    <mergeCell ref="F22:G22"/>
    <mergeCell ref="F23:G23"/>
    <mergeCell ref="A24:B28"/>
    <mergeCell ref="A29:B29"/>
    <mergeCell ref="A36:B36"/>
    <mergeCell ref="A37:B54"/>
    <mergeCell ref="C43:E43"/>
    <mergeCell ref="A55:A56"/>
    <mergeCell ref="A7:B8"/>
    <mergeCell ref="A9:B13"/>
    <mergeCell ref="A14:B14"/>
    <mergeCell ref="A15:B15"/>
    <mergeCell ref="A19:B19"/>
    <mergeCell ref="A23:B23"/>
    <mergeCell ref="C24:E24"/>
    <mergeCell ref="P19:Q19"/>
    <mergeCell ref="P20:Q20"/>
    <mergeCell ref="K21:R21"/>
    <mergeCell ref="F24:J24"/>
    <mergeCell ref="H25:J25"/>
    <mergeCell ref="H26:J26"/>
    <mergeCell ref="H27:J27"/>
    <mergeCell ref="H28:J28"/>
    <mergeCell ref="K28:R28"/>
    <mergeCell ref="H29:J29"/>
    <mergeCell ref="L29:M29"/>
    <mergeCell ref="H30:J30"/>
    <mergeCell ref="M30:N30"/>
    <mergeCell ref="H31:J31"/>
    <mergeCell ref="H34:J34"/>
    <mergeCell ref="F35:J35"/>
    <mergeCell ref="H36:J36"/>
    <mergeCell ref="L36:M36"/>
    <mergeCell ref="L31:M31"/>
    <mergeCell ref="H32:J32"/>
    <mergeCell ref="L32:M32"/>
    <mergeCell ref="H33:J33"/>
    <mergeCell ref="L33:M33"/>
    <mergeCell ref="L34:M34"/>
    <mergeCell ref="K35:R35"/>
    <mergeCell ref="D1:G1"/>
    <mergeCell ref="J1:J2"/>
    <mergeCell ref="K1:K2"/>
    <mergeCell ref="L1:L2"/>
    <mergeCell ref="M1:Q2"/>
    <mergeCell ref="H2:I2"/>
    <mergeCell ref="B3:Q3"/>
    <mergeCell ref="C7:J7"/>
    <mergeCell ref="K7:R7"/>
    <mergeCell ref="R4:R5"/>
    <mergeCell ref="P8:Q8"/>
    <mergeCell ref="P9:Q9"/>
    <mergeCell ref="P10:Q10"/>
    <mergeCell ref="R22:R27"/>
    <mergeCell ref="R29:R34"/>
    <mergeCell ref="R36:R40"/>
    <mergeCell ref="P11:Q11"/>
    <mergeCell ref="P12:Q12"/>
    <mergeCell ref="P15:Q15"/>
    <mergeCell ref="R15:R20"/>
    <mergeCell ref="P16:Q16"/>
    <mergeCell ref="P17:Q17"/>
    <mergeCell ref="P18:Q18"/>
    <mergeCell ref="L40:M40"/>
    <mergeCell ref="K41:R41"/>
    <mergeCell ref="F43:J43"/>
    <mergeCell ref="N51:Q54"/>
    <mergeCell ref="L52:M52"/>
    <mergeCell ref="L53:M53"/>
    <mergeCell ref="L54:M54"/>
    <mergeCell ref="B55:R56"/>
    <mergeCell ref="K47:L47"/>
    <mergeCell ref="M47:N47"/>
    <mergeCell ref="L49:N49"/>
    <mergeCell ref="P49:Q49"/>
    <mergeCell ref="R49:R54"/>
    <mergeCell ref="N50:O50"/>
    <mergeCell ref="P50:Q50"/>
    <mergeCell ref="N31:Q34"/>
    <mergeCell ref="N36:Q40"/>
    <mergeCell ref="H37:J37"/>
    <mergeCell ref="L37:M37"/>
    <mergeCell ref="H38:J38"/>
    <mergeCell ref="L38:M38"/>
    <mergeCell ref="L39:M39"/>
    <mergeCell ref="K43:L43"/>
    <mergeCell ref="M43:N43"/>
    <mergeCell ref="K44:L44"/>
    <mergeCell ref="M44:N44"/>
    <mergeCell ref="K45:L45"/>
    <mergeCell ref="M45:N45"/>
    <mergeCell ref="K46:L46"/>
    <mergeCell ref="M46:N46"/>
    <mergeCell ref="H39:J39"/>
    <mergeCell ref="H40:J40"/>
    <mergeCell ref="H41:J41"/>
    <mergeCell ref="H42:J42"/>
    <mergeCell ref="K42:L42"/>
    <mergeCell ref="M42:N42"/>
    <mergeCell ref="R42:R47"/>
    <mergeCell ref="K48:R48"/>
    <mergeCell ref="L50:M50"/>
    <mergeCell ref="L51:M51"/>
  </mergeCells>
  <conditionalFormatting sqref="D17:E17">
    <cfRule type="cellIs" dxfId="4" priority="1" operator="between">
      <formula>60</formula>
      <formula>100</formula>
    </cfRule>
  </conditionalFormatting>
  <conditionalFormatting sqref="D17:E17">
    <cfRule type="cellIs" dxfId="5" priority="2" operator="notBetween">
      <formula>60</formula>
      <formula>90</formula>
    </cfRule>
  </conditionalFormatting>
  <conditionalFormatting sqref="D18">
    <cfRule type="cellIs" dxfId="4" priority="3" operator="between">
      <formula>60</formula>
      <formula>100</formula>
    </cfRule>
  </conditionalFormatting>
  <conditionalFormatting sqref="D18">
    <cfRule type="cellIs" dxfId="5" priority="4" operator="notBetween">
      <formula>60</formula>
      <formula>100</formula>
    </cfRule>
  </conditionalFormatting>
  <conditionalFormatting sqref="E18">
    <cfRule type="cellIs" dxfId="4" priority="5" operator="between">
      <formula>60</formula>
      <formula>100</formula>
    </cfRule>
  </conditionalFormatting>
  <conditionalFormatting sqref="E18">
    <cfRule type="cellIs" dxfId="6" priority="6" operator="notBetween">
      <formula>60</formula>
      <formula>100</formula>
    </cfRule>
  </conditionalFormatting>
  <conditionalFormatting sqref="D19:E19">
    <cfRule type="cellIs" dxfId="4" priority="7" operator="between">
      <formula>12</formula>
      <formula>20</formula>
    </cfRule>
  </conditionalFormatting>
  <conditionalFormatting sqref="D19:E19">
    <cfRule type="cellIs" dxfId="5" priority="8" operator="notBetween">
      <formula>12</formula>
      <formula>20</formula>
    </cfRule>
  </conditionalFormatting>
  <conditionalFormatting sqref="D20:E20">
    <cfRule type="cellIs" dxfId="4" priority="9" operator="between">
      <formula>35</formula>
      <formula>37.7</formula>
    </cfRule>
  </conditionalFormatting>
  <conditionalFormatting sqref="D20:E20">
    <cfRule type="cellIs" dxfId="5" priority="10" operator="notBetween">
      <formula>35</formula>
      <formula>37.7</formula>
    </cfRule>
  </conditionalFormatting>
  <conditionalFormatting sqref="D21:E21">
    <cfRule type="cellIs" dxfId="4" priority="11" operator="between">
      <formula>92</formula>
      <formula>100</formula>
    </cfRule>
  </conditionalFormatting>
  <conditionalFormatting sqref="D21:E21">
    <cfRule type="cellIs" dxfId="5" priority="12" operator="notBetween">
      <formula>92</formula>
      <formula>100</formula>
    </cfRule>
  </conditionalFormatting>
  <conditionalFormatting sqref="D20:E23">
    <cfRule type="cellIs" dxfId="4" priority="13" operator="between">
      <formula>80</formula>
      <formula>180</formula>
    </cfRule>
  </conditionalFormatting>
  <conditionalFormatting sqref="D20:E23">
    <cfRule type="cellIs" dxfId="5" priority="14" operator="notBetween">
      <formula>80</formula>
      <formula>180</formula>
    </cfRule>
  </conditionalFormatting>
  <conditionalFormatting sqref="H2">
    <cfRule type="cellIs" dxfId="0" priority="15" operator="lessThanOrEqual">
      <formula>1</formula>
    </cfRule>
  </conditionalFormatting>
  <conditionalFormatting sqref="P16:Q16">
    <cfRule type="cellIs" dxfId="1" priority="16" operator="between">
      <formula>60</formula>
      <formula>100</formula>
    </cfRule>
  </conditionalFormatting>
  <conditionalFormatting sqref="P16:Q16">
    <cfRule type="cellIs" dxfId="2" priority="17" operator="notBetween">
      <formula>60</formula>
      <formula>100</formula>
    </cfRule>
  </conditionalFormatting>
  <conditionalFormatting sqref="P15:Q15">
    <cfRule type="cellIs" dxfId="1" priority="18" operator="between">
      <formula>60</formula>
      <formula>100</formula>
    </cfRule>
  </conditionalFormatting>
  <conditionalFormatting sqref="P15:Q15">
    <cfRule type="cellIs" dxfId="3" priority="19" operator="notBetween">
      <formula>60</formula>
      <formula>100</formula>
    </cfRule>
  </conditionalFormatting>
  <conditionalFormatting sqref="P17:Q17">
    <cfRule type="cellIs" dxfId="1" priority="20" operator="between">
      <formula>1</formula>
      <formula>3</formula>
    </cfRule>
  </conditionalFormatting>
  <conditionalFormatting sqref="P17:Q17">
    <cfRule type="cellIs" dxfId="3" priority="21" operator="notBetween">
      <formula>1</formula>
      <formula>3</formula>
    </cfRule>
  </conditionalFormatting>
  <conditionalFormatting sqref="N24">
    <cfRule type="cellIs" dxfId="1" priority="22" operator="between">
      <formula>12</formula>
      <formula>20</formula>
    </cfRule>
  </conditionalFormatting>
  <conditionalFormatting sqref="N24">
    <cfRule type="cellIs" dxfId="3" priority="23" operator="notBetween">
      <formula>12</formula>
      <formula>20</formula>
    </cfRule>
  </conditionalFormatting>
  <conditionalFormatting sqref="N25">
    <cfRule type="cellIs" dxfId="1" priority="24" operator="between">
      <formula>3</formula>
      <formula>10</formula>
    </cfRule>
  </conditionalFormatting>
  <conditionalFormatting sqref="N25">
    <cfRule type="cellIs" dxfId="3" priority="25" operator="notBetween">
      <formula>3</formula>
      <formula>10</formula>
    </cfRule>
  </conditionalFormatting>
  <conditionalFormatting sqref="L25:L27">
    <cfRule type="cellIs" dxfId="1" priority="26" operator="between">
      <formula>20</formula>
      <formula>35</formula>
    </cfRule>
  </conditionalFormatting>
  <conditionalFormatting sqref="L25:L27">
    <cfRule type="cellIs" dxfId="3" priority="27" operator="notBetween">
      <formula>20</formula>
      <formula>35</formula>
    </cfRule>
  </conditionalFormatting>
  <conditionalFormatting sqref="D17:E17">
    <cfRule type="cellIs" dxfId="1" priority="28" operator="between">
      <formula>60</formula>
      <formula>100</formula>
    </cfRule>
  </conditionalFormatting>
  <conditionalFormatting sqref="D17:E17">
    <cfRule type="cellIs" dxfId="8" priority="29" operator="notBetween">
      <formula>60</formula>
      <formula>90</formula>
    </cfRule>
  </conditionalFormatting>
  <conditionalFormatting sqref="D18">
    <cfRule type="cellIs" dxfId="1" priority="30" operator="between">
      <formula>60</formula>
      <formula>100</formula>
    </cfRule>
  </conditionalFormatting>
  <conditionalFormatting sqref="D18">
    <cfRule type="cellIs" dxfId="8" priority="31" operator="notBetween">
      <formula>60</formula>
      <formula>100</formula>
    </cfRule>
  </conditionalFormatting>
  <conditionalFormatting sqref="E18">
    <cfRule type="cellIs" dxfId="1" priority="32" operator="between">
      <formula>60</formula>
      <formula>100</formula>
    </cfRule>
  </conditionalFormatting>
  <conditionalFormatting sqref="E18">
    <cfRule type="cellIs" dxfId="3" priority="33" operator="notBetween">
      <formula>60</formula>
      <formula>100</formula>
    </cfRule>
  </conditionalFormatting>
  <conditionalFormatting sqref="D19:E19">
    <cfRule type="cellIs" dxfId="1" priority="34" operator="between">
      <formula>12</formula>
      <formula>20</formula>
    </cfRule>
  </conditionalFormatting>
  <conditionalFormatting sqref="D19:E19">
    <cfRule type="cellIs" dxfId="8" priority="35" operator="notBetween">
      <formula>12</formula>
      <formula>20</formula>
    </cfRule>
  </conditionalFormatting>
  <conditionalFormatting sqref="D20:E20">
    <cfRule type="cellIs" dxfId="1" priority="36" operator="between">
      <formula>35</formula>
      <formula>37.7</formula>
    </cfRule>
  </conditionalFormatting>
  <conditionalFormatting sqref="D20:E20">
    <cfRule type="cellIs" dxfId="8" priority="37" operator="notBetween">
      <formula>35</formula>
      <formula>37.7</formula>
    </cfRule>
  </conditionalFormatting>
  <conditionalFormatting sqref="D21:E21">
    <cfRule type="cellIs" dxfId="1" priority="38" operator="between">
      <formula>92</formula>
      <formula>100</formula>
    </cfRule>
  </conditionalFormatting>
  <conditionalFormatting sqref="D21:E21">
    <cfRule type="cellIs" dxfId="8" priority="39" operator="notBetween">
      <formula>92</formula>
      <formula>100</formula>
    </cfRule>
  </conditionalFormatting>
  <conditionalFormatting sqref="D21:E23">
    <cfRule type="cellIs" dxfId="1" priority="40" operator="between">
      <formula>80</formula>
      <formula>180</formula>
    </cfRule>
  </conditionalFormatting>
  <conditionalFormatting sqref="D21:E23">
    <cfRule type="cellIs" dxfId="8" priority="41" operator="notBetween">
      <formula>80</formula>
      <formula>180</formula>
    </cfRule>
  </conditionalFormatting>
  <conditionalFormatting sqref="J15:J16">
    <cfRule type="cellIs" dxfId="1" priority="42" operator="between">
      <formula>500</formula>
      <formula>2500</formula>
    </cfRule>
  </conditionalFormatting>
  <conditionalFormatting sqref="J15:J16">
    <cfRule type="cellIs" dxfId="3" priority="43" operator="notBetween">
      <formula>500</formula>
      <formula>2500</formula>
    </cfRule>
  </conditionalFormatting>
  <conditionalFormatting sqref="D26:E26">
    <cfRule type="cellIs" dxfId="1" priority="44" operator="between">
      <formula>7</formula>
      <formula>16</formula>
    </cfRule>
  </conditionalFormatting>
  <conditionalFormatting sqref="D26:E26">
    <cfRule type="cellIs" dxfId="3" priority="45" operator="notBetween">
      <formula>7</formula>
      <formula>16</formula>
    </cfRule>
  </conditionalFormatting>
  <conditionalFormatting sqref="D28:E28">
    <cfRule type="cellIs" dxfId="1" priority="46" operator="between">
      <formula>4000</formula>
      <formula>12000</formula>
    </cfRule>
  </conditionalFormatting>
  <conditionalFormatting sqref="D28:E28">
    <cfRule type="cellIs" dxfId="3" priority="47" operator="notBetween">
      <formula>4000</formula>
      <formula>12000</formula>
    </cfRule>
  </conditionalFormatting>
  <conditionalFormatting sqref="D29:E29">
    <cfRule type="cellIs" dxfId="1" priority="48" operator="between">
      <formula>150000</formula>
      <formula>500000</formula>
    </cfRule>
  </conditionalFormatting>
  <conditionalFormatting sqref="D29:E29">
    <cfRule type="cellIs" dxfId="3" priority="49" operator="notBetween">
      <formula>150000</formula>
      <formula>500000</formula>
    </cfRule>
  </conditionalFormatting>
  <conditionalFormatting sqref="D31:E31">
    <cfRule type="cellIs" dxfId="1" priority="50" operator="between">
      <formula>10</formula>
      <formula>45</formula>
    </cfRule>
  </conditionalFormatting>
  <conditionalFormatting sqref="D31:E31">
    <cfRule type="cellIs" dxfId="3" priority="51" operator="notBetween">
      <formula>10</formula>
      <formula>45</formula>
    </cfRule>
  </conditionalFormatting>
  <conditionalFormatting sqref="D32:E32">
    <cfRule type="cellIs" dxfId="1" priority="52" operator="between">
      <formula>0.5</formula>
      <formula>1.4</formula>
    </cfRule>
  </conditionalFormatting>
  <conditionalFormatting sqref="D32:E32">
    <cfRule type="cellIs" dxfId="3" priority="53" operator="notBetween">
      <formula>0.5</formula>
      <formula>1.4</formula>
    </cfRule>
  </conditionalFormatting>
  <conditionalFormatting sqref="D33:E33">
    <cfRule type="cellIs" dxfId="1" priority="54" operator="between">
      <formula>135</formula>
      <formula>145</formula>
    </cfRule>
  </conditionalFormatting>
  <conditionalFormatting sqref="D33:E33">
    <cfRule type="cellIs" dxfId="3" priority="55" operator="notBetween">
      <formula>135</formula>
      <formula>145</formula>
    </cfRule>
  </conditionalFormatting>
  <conditionalFormatting sqref="D34:E34">
    <cfRule type="cellIs" dxfId="1" priority="56" operator="between">
      <formula>3.5</formula>
      <formula>5.5</formula>
    </cfRule>
  </conditionalFormatting>
  <conditionalFormatting sqref="D34:E34">
    <cfRule type="cellIs" dxfId="3" priority="57" operator="notBetween">
      <formula>3.5</formula>
      <formula>5.5</formula>
    </cfRule>
  </conditionalFormatting>
  <conditionalFormatting sqref="D38:E38">
    <cfRule type="cellIs" dxfId="1" priority="58" operator="between">
      <formula>0</formula>
      <formula>0.1</formula>
    </cfRule>
  </conditionalFormatting>
  <conditionalFormatting sqref="D38:E38">
    <cfRule type="cellIs" dxfId="3" priority="59" operator="notBetween">
      <formula>0</formula>
      <formula>0.1</formula>
    </cfRule>
  </conditionalFormatting>
  <conditionalFormatting sqref="E45 D46">
    <cfRule type="cellIs" dxfId="1" priority="60" operator="between">
      <formula>7.35</formula>
      <formula>7.45</formula>
    </cfRule>
  </conditionalFormatting>
  <conditionalFormatting sqref="E45 D46">
    <cfRule type="cellIs" dxfId="3" priority="61" operator="notBetween">
      <formula>7.35</formula>
      <formula>7.45</formula>
    </cfRule>
  </conditionalFormatting>
  <conditionalFormatting sqref="E46">
    <cfRule type="cellIs" dxfId="1" priority="62" operator="between">
      <formula>35</formula>
      <formula>45</formula>
    </cfRule>
  </conditionalFormatting>
  <conditionalFormatting sqref="E46">
    <cfRule type="cellIs" dxfId="3" priority="63" operator="notBetween">
      <formula>35</formula>
      <formula>45</formula>
    </cfRule>
  </conditionalFormatting>
  <conditionalFormatting sqref="D47:E47">
    <cfRule type="cellIs" dxfId="1" priority="64" operator="between">
      <formula>60</formula>
      <formula>100</formula>
    </cfRule>
  </conditionalFormatting>
  <conditionalFormatting sqref="D47:E47">
    <cfRule type="cellIs" dxfId="3" priority="65" operator="notBetween">
      <formula>60</formula>
      <formula>100</formula>
    </cfRule>
  </conditionalFormatting>
  <conditionalFormatting sqref="D48:E48">
    <cfRule type="cellIs" dxfId="1" priority="66" operator="between">
      <formula>18</formula>
      <formula>30</formula>
    </cfRule>
  </conditionalFormatting>
  <conditionalFormatting sqref="D48:E48">
    <cfRule type="cellIs" dxfId="3" priority="67" operator="notBetween">
      <formula>18</formula>
      <formula>30</formula>
    </cfRule>
  </conditionalFormatting>
  <conditionalFormatting sqref="D49:E49">
    <cfRule type="cellIs" dxfId="1" priority="68" operator="between">
      <formula>-2</formula>
      <formula>2</formula>
    </cfRule>
  </conditionalFormatting>
  <conditionalFormatting sqref="D49:E49">
    <cfRule type="cellIs" dxfId="3" priority="69" operator="notBetween">
      <formula>-2</formula>
      <formula>2</formula>
    </cfRule>
  </conditionalFormatting>
  <conditionalFormatting sqref="E50 D51">
    <cfRule type="cellIs" dxfId="1" priority="70" operator="between">
      <formula>92</formula>
      <formula>100</formula>
    </cfRule>
  </conditionalFormatting>
  <conditionalFormatting sqref="E50 D51">
    <cfRule type="cellIs" dxfId="3" priority="71" operator="notBetween">
      <formula>92</formula>
      <formula>100</formula>
    </cfRule>
  </conditionalFormatting>
  <conditionalFormatting sqref="E51">
    <cfRule type="cellIs" dxfId="1" priority="72" operator="between">
      <formula>400</formula>
      <formula>600</formula>
    </cfRule>
  </conditionalFormatting>
  <conditionalFormatting sqref="E51">
    <cfRule type="cellIs" dxfId="3" priority="73" operator="notBetween">
      <formula>400</formula>
      <formula>600</formula>
    </cfRule>
  </conditionalFormatting>
  <conditionalFormatting sqref="B35">
    <cfRule type="cellIs" dxfId="1" priority="74" operator="between">
      <formula>0</formula>
      <formula>20</formula>
    </cfRule>
  </conditionalFormatting>
  <conditionalFormatting sqref="B35">
    <cfRule type="cellIs" dxfId="7" priority="75" operator="between">
      <formula>20</formula>
      <formula>50</formula>
    </cfRule>
  </conditionalFormatting>
  <conditionalFormatting sqref="B35">
    <cfRule type="cellIs" dxfId="8" priority="76" operator="between">
      <formula>50</formula>
      <formula>100</formula>
    </cfRule>
  </conditionalFormatting>
  <conditionalFormatting sqref="P8:Q8">
    <cfRule type="cellIs" dxfId="1" priority="77" operator="between">
      <formula>13</formula>
      <formula>15</formula>
    </cfRule>
  </conditionalFormatting>
  <conditionalFormatting sqref="P8:Q8">
    <cfRule type="cellIs" dxfId="3" priority="78" operator="notBetween">
      <formula>13</formula>
      <formula>15</formula>
    </cfRule>
  </conditionalFormatting>
  <conditionalFormatting sqref="P9:Q9">
    <cfRule type="cellIs" dxfId="1" priority="79" operator="between">
      <formula>0</formula>
      <formula>-2</formula>
    </cfRule>
  </conditionalFormatting>
  <conditionalFormatting sqref="P9:Q9">
    <cfRule type="cellIs" dxfId="3" priority="80" operator="notBetween">
      <formula>0</formula>
      <formula>-2</formula>
    </cfRule>
  </conditionalFormatting>
  <conditionalFormatting sqref="L49:N49">
    <cfRule type="notContainsBlanks" dxfId="3" priority="81">
      <formula>LEN(TRIM(L49))&gt;0</formula>
    </cfRule>
  </conditionalFormatting>
  <conditionalFormatting sqref="B33">
    <cfRule type="cellIs" dxfId="8" priority="82" operator="lessThan">
      <formula>40</formula>
    </cfRule>
  </conditionalFormatting>
  <conditionalFormatting sqref="B33">
    <cfRule type="cellIs" dxfId="9" priority="83" operator="between">
      <formula>40</formula>
      <formula>60</formula>
    </cfRule>
  </conditionalFormatting>
  <conditionalFormatting sqref="B33">
    <cfRule type="cellIs" dxfId="1" priority="84" operator="greaterThan">
      <formula>60</formula>
    </cfRule>
  </conditionalFormatting>
  <conditionalFormatting sqref="K1:K2">
    <cfRule type="notContainsBlanks" dxfId="8" priority="85">
      <formula>LEN(TRIM(K1))&gt;0</formula>
    </cfRule>
  </conditionalFormatting>
  <dataValidations>
    <dataValidation type="list" allowBlank="1" showErrorMessage="1" sqref="K16:K20">
      <formula1>"NORADRENALINA 4X,NORADRENALINA 8X,VASOPRESSINA 2X,NIPRID 1X, TRIDIL 1X,DOBUTAMINA 4X,DOPAMINA 5X,NIPRIDE X2,INSULINA R."</formula1>
    </dataValidation>
    <dataValidation type="list" allowBlank="1" showErrorMessage="1" sqref="K9">
      <formula1>"MIDAZOLAM 2X,MIDAZOLAM 5X,FENTANIL 2X, FENTANIL 5X,TRIDIL 1X,DOBUTA 4X,PROPOFOL 5X,CETAMINA 2X,PRECEDEX 2X,ROCURONIO 5X"</formula1>
    </dataValidation>
    <dataValidation type="list" allowBlank="1" showErrorMessage="1" sqref="P20 L37 L39">
      <formula1>"SIM,NÃO"</formula1>
    </dataValidation>
    <dataValidation type="list" allowBlank="1" showErrorMessage="1" sqref="P49">
      <formula1>"N/A,I,II,III,IV,INCLASSIFICÁVEL"</formula1>
    </dataValidation>
    <dataValidation type="list" allowBlank="1" showErrorMessage="1" sqref="L22">
      <formula1>"TOT,TQT,VNI,CNO2,MNR,VENTURI,AA"</formula1>
    </dataValidation>
    <dataValidation type="list" allowBlank="1" showErrorMessage="1" sqref="L23">
      <formula1>"1ºdia,2ºdia,3ºdia,4ºdia,5ºdia"</formula1>
    </dataValidation>
    <dataValidation type="list" allowBlank="1" showErrorMessage="1" sqref="K10:K13">
      <formula1>"MIDAZOLAM,FENTANIL,PROPOFOL,CETAMINA,PRECEDEX,ROCURONIO"</formula1>
    </dataValidation>
    <dataValidation type="list" allowBlank="1" showErrorMessage="1" sqref="P11:P13 P18:P19 L31:L34 L36">
      <formula1>"SIM,NÃO,N/A"</formula1>
    </dataValidation>
    <dataValidation type="list" allowBlank="1" showErrorMessage="1" sqref="M42:M43 M45">
      <formula1>"SIM,NÃO,N/A"</formula1>
    </dataValidation>
    <dataValidation type="list" allowBlank="1" showErrorMessage="1" sqref="L29">
      <formula1>"JEJUM,GERAL,BRANDA,PASTOSA,LEVE,LÍQUIDA C/ RESÍDUO,ÁGUA, CHÁ GELATINA,DIBEN,HP ENERGI,ENERGI,DIAMAX,LIQ.FRIA"</formula1>
    </dataValidation>
    <dataValidation type="list" allowBlank="1" showErrorMessage="1" sqref="O29">
      <formula1>"N/A,ORAL,SNE,GTT,PARENTERAL"</formula1>
    </dataValidation>
    <dataValidation type="list" allowBlank="1" showErrorMessage="1" sqref="M47">
      <formula1>"SANGRAMENTO,AGUARDA CC,QUEDA HB,PLAQUETOPENIA"</formula1>
    </dataValidation>
    <dataValidation type="list" allowBlank="1" showErrorMessage="1" sqref="M44 M46 L51:L53">
      <formula1>"SIM,NÃO,N/A"</formula1>
    </dataValidation>
  </dataValidations>
  <printOptions gridLines="1" horizontalCentered="1"/>
  <pageMargins bottom="0.14871749934278886" footer="0.0" header="0.0" left="0.18589687417848605" right="0.18589687417848605" top="0.18589687417848605"/>
  <pageSetup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9.88"/>
    <col customWidth="1" min="3" max="3" width="10.38"/>
    <col customWidth="1" min="4" max="5" width="8.63"/>
    <col customWidth="1" min="6" max="7" width="8.38"/>
    <col customWidth="1" min="8" max="8" width="9.13"/>
    <col customWidth="1" min="9" max="9" width="9.5"/>
    <col customWidth="1" min="10" max="10" width="9.38"/>
    <col customWidth="1" min="11" max="11" width="19.5"/>
    <col customWidth="1" min="12" max="12" width="10.5"/>
    <col customWidth="1" min="13" max="14" width="7.0"/>
    <col customWidth="1" min="15" max="15" width="13.13"/>
    <col customWidth="1" min="16" max="16" width="6.0"/>
    <col customWidth="1" min="17" max="17" width="9.25"/>
    <col customWidth="1" min="18" max="18" width="25.63"/>
  </cols>
  <sheetData>
    <row r="1" ht="16.5" customHeight="1">
      <c r="A1" s="43" t="s">
        <v>24</v>
      </c>
      <c r="B1" s="328">
        <v>579000.0</v>
      </c>
      <c r="C1" s="45" t="s">
        <v>25</v>
      </c>
      <c r="D1" s="329" t="s">
        <v>471</v>
      </c>
      <c r="E1" s="47"/>
      <c r="F1" s="47"/>
      <c r="G1" s="48"/>
      <c r="H1" s="49" t="s">
        <v>4</v>
      </c>
      <c r="I1" s="330">
        <v>58.0</v>
      </c>
      <c r="J1" s="345" t="s">
        <v>472</v>
      </c>
      <c r="K1" s="346"/>
      <c r="L1" s="53" t="s">
        <v>28</v>
      </c>
      <c r="M1" s="347" t="s">
        <v>473</v>
      </c>
      <c r="N1" s="55"/>
      <c r="O1" s="55"/>
      <c r="P1" s="55"/>
      <c r="Q1" s="56"/>
      <c r="R1" s="57" t="s">
        <v>30</v>
      </c>
    </row>
    <row r="2" ht="27.75" customHeight="1">
      <c r="A2" s="58" t="s">
        <v>31</v>
      </c>
      <c r="B2" s="332">
        <v>46007.0</v>
      </c>
      <c r="C2" s="60" t="s">
        <v>32</v>
      </c>
      <c r="D2" s="425" t="s">
        <v>474</v>
      </c>
      <c r="E2" s="62" t="s">
        <v>33</v>
      </c>
      <c r="F2" s="348"/>
      <c r="G2" s="64" t="s">
        <v>34</v>
      </c>
      <c r="H2" s="349"/>
      <c r="I2" s="66"/>
      <c r="J2" s="67"/>
      <c r="K2" s="67"/>
      <c r="L2" s="67"/>
      <c r="M2" s="68"/>
      <c r="N2" s="69"/>
      <c r="O2" s="69"/>
      <c r="P2" s="69"/>
      <c r="Q2" s="70"/>
      <c r="R2" s="71" t="s">
        <v>22</v>
      </c>
    </row>
    <row r="3" ht="36.0" customHeight="1">
      <c r="A3" s="72" t="s">
        <v>35</v>
      </c>
      <c r="B3" s="334" t="s">
        <v>475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66"/>
      <c r="R3" s="75" t="s">
        <v>37</v>
      </c>
    </row>
    <row r="4" ht="30.75" customHeight="1">
      <c r="A4" s="72" t="s">
        <v>38</v>
      </c>
      <c r="B4" s="334" t="s">
        <v>476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66"/>
      <c r="R4" s="76">
        <f>TODAY()</f>
        <v>46009</v>
      </c>
    </row>
    <row r="5" ht="12.75" customHeight="1">
      <c r="A5" s="77" t="s">
        <v>40</v>
      </c>
      <c r="B5" s="335" t="s">
        <v>476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80"/>
      <c r="R5" s="81"/>
    </row>
    <row r="6" ht="12.75" customHeight="1">
      <c r="A6" s="82" t="s">
        <v>42</v>
      </c>
      <c r="B6" s="83"/>
      <c r="C6" s="82" t="s">
        <v>43</v>
      </c>
      <c r="D6" s="84"/>
      <c r="E6" s="84"/>
      <c r="F6" s="84"/>
      <c r="G6" s="84"/>
      <c r="H6" s="84"/>
      <c r="I6" s="84"/>
      <c r="J6" s="83"/>
      <c r="K6" s="85" t="s">
        <v>44</v>
      </c>
      <c r="L6" s="55"/>
      <c r="M6" s="55"/>
      <c r="N6" s="55"/>
      <c r="O6" s="55"/>
      <c r="P6" s="55"/>
      <c r="Q6" s="56"/>
      <c r="R6" s="86" t="s">
        <v>45</v>
      </c>
    </row>
    <row r="7" ht="12.75" customHeight="1">
      <c r="A7" s="87" t="s">
        <v>46</v>
      </c>
      <c r="B7" s="88"/>
      <c r="C7" s="89" t="s">
        <v>47</v>
      </c>
      <c r="D7" s="69"/>
      <c r="E7" s="69"/>
      <c r="F7" s="69"/>
      <c r="G7" s="69"/>
      <c r="H7" s="69"/>
      <c r="I7" s="69"/>
      <c r="J7" s="90"/>
      <c r="K7" s="91" t="s">
        <v>48</v>
      </c>
      <c r="L7" s="92"/>
      <c r="M7" s="92"/>
      <c r="N7" s="92"/>
      <c r="O7" s="92"/>
      <c r="P7" s="92"/>
      <c r="Q7" s="92"/>
      <c r="R7" s="93"/>
    </row>
    <row r="8" ht="12.75" customHeight="1">
      <c r="A8" s="94"/>
      <c r="B8" s="90"/>
      <c r="C8" s="95"/>
      <c r="D8" s="79"/>
      <c r="E8" s="79"/>
      <c r="F8" s="79"/>
      <c r="G8" s="79"/>
      <c r="H8" s="79"/>
      <c r="I8" s="79"/>
      <c r="J8" s="96"/>
      <c r="K8" s="97" t="s">
        <v>50</v>
      </c>
      <c r="L8" s="98" t="s">
        <v>51</v>
      </c>
      <c r="M8" s="98" t="s">
        <v>52</v>
      </c>
      <c r="N8" s="99" t="s">
        <v>53</v>
      </c>
      <c r="O8" s="100" t="s">
        <v>54</v>
      </c>
      <c r="P8" s="101"/>
      <c r="Q8" s="70"/>
      <c r="R8" s="102" t="s">
        <v>477</v>
      </c>
    </row>
    <row r="9" ht="12.75" customHeight="1">
      <c r="A9" s="103"/>
      <c r="B9" s="96"/>
      <c r="J9" s="88"/>
      <c r="K9" s="104" t="s">
        <v>258</v>
      </c>
      <c r="L9" s="105">
        <v>5.0</v>
      </c>
      <c r="M9" s="106">
        <v>46007.0</v>
      </c>
      <c r="N9" s="426">
        <v>46008.0</v>
      </c>
      <c r="O9" s="108" t="s">
        <v>58</v>
      </c>
      <c r="P9" s="109">
        <v>-5.0</v>
      </c>
      <c r="Q9" s="66"/>
      <c r="R9" s="110"/>
    </row>
    <row r="10" ht="12.75" customHeight="1">
      <c r="A10" s="111"/>
      <c r="B10" s="88"/>
      <c r="J10" s="88"/>
      <c r="K10" s="104" t="s">
        <v>259</v>
      </c>
      <c r="L10" s="112">
        <v>2.0</v>
      </c>
      <c r="M10" s="145">
        <v>46007.0</v>
      </c>
      <c r="N10" s="426">
        <v>46008.0</v>
      </c>
      <c r="O10" s="108" t="s">
        <v>59</v>
      </c>
      <c r="P10" s="109"/>
      <c r="Q10" s="66"/>
      <c r="R10" s="110"/>
    </row>
    <row r="11">
      <c r="A11" s="111"/>
      <c r="B11" s="88"/>
      <c r="J11" s="88"/>
      <c r="K11" s="104" t="s">
        <v>478</v>
      </c>
      <c r="L11" s="112">
        <v>0.0</v>
      </c>
      <c r="M11" s="145">
        <v>46007.0</v>
      </c>
      <c r="N11" s="318">
        <v>46008.0</v>
      </c>
      <c r="O11" s="115" t="s">
        <v>61</v>
      </c>
      <c r="P11" s="116" t="s">
        <v>65</v>
      </c>
      <c r="Q11" s="66"/>
      <c r="R11" s="110"/>
    </row>
    <row r="12">
      <c r="A12" s="111"/>
      <c r="B12" s="88"/>
      <c r="J12" s="88"/>
      <c r="K12" s="104" t="s">
        <v>479</v>
      </c>
      <c r="L12" s="112">
        <v>10.0</v>
      </c>
      <c r="M12" s="145">
        <v>46008.0</v>
      </c>
      <c r="N12" s="113"/>
      <c r="O12" s="108" t="s">
        <v>63</v>
      </c>
      <c r="P12" s="116" t="s">
        <v>92</v>
      </c>
      <c r="Q12" s="66"/>
      <c r="R12" s="110"/>
    </row>
    <row r="13">
      <c r="A13" s="111"/>
      <c r="B13" s="88"/>
      <c r="C13" s="69"/>
      <c r="D13" s="69"/>
      <c r="E13" s="69"/>
      <c r="F13" s="69"/>
      <c r="G13" s="69"/>
      <c r="H13" s="69"/>
      <c r="I13" s="69"/>
      <c r="J13" s="90"/>
      <c r="K13" s="117"/>
      <c r="L13" s="118"/>
      <c r="M13" s="118"/>
      <c r="N13" s="119"/>
      <c r="O13" s="120" t="s">
        <v>64</v>
      </c>
      <c r="P13" s="121" t="s">
        <v>65</v>
      </c>
      <c r="Q13" s="80"/>
      <c r="R13" s="81"/>
    </row>
    <row r="14" ht="12.75" customHeight="1">
      <c r="A14" s="122" t="s">
        <v>66</v>
      </c>
      <c r="B14" s="123"/>
      <c r="C14" s="124" t="s">
        <v>67</v>
      </c>
      <c r="D14" s="47"/>
      <c r="E14" s="123"/>
      <c r="F14" s="124" t="s">
        <v>68</v>
      </c>
      <c r="G14" s="47"/>
      <c r="H14" s="123"/>
      <c r="I14" s="124" t="s">
        <v>69</v>
      </c>
      <c r="J14" s="123"/>
      <c r="K14" s="91" t="s">
        <v>70</v>
      </c>
      <c r="L14" s="92"/>
      <c r="M14" s="92"/>
      <c r="N14" s="92"/>
      <c r="O14" s="92"/>
      <c r="P14" s="92"/>
      <c r="Q14" s="92"/>
      <c r="R14" s="93"/>
    </row>
    <row r="15" ht="12.75" customHeight="1">
      <c r="A15" s="125" t="s">
        <v>71</v>
      </c>
      <c r="B15" s="126"/>
      <c r="C15" s="127" t="s">
        <v>72</v>
      </c>
      <c r="E15" s="128">
        <v>24.0</v>
      </c>
      <c r="F15" s="129" t="s">
        <v>37</v>
      </c>
      <c r="G15" s="130" t="s">
        <v>73</v>
      </c>
      <c r="H15" s="131" t="s">
        <v>74</v>
      </c>
      <c r="I15" s="132" t="s">
        <v>75</v>
      </c>
      <c r="J15" s="144">
        <v>550.0</v>
      </c>
      <c r="K15" s="97" t="s">
        <v>76</v>
      </c>
      <c r="L15" s="98" t="s">
        <v>51</v>
      </c>
      <c r="M15" s="98" t="s">
        <v>52</v>
      </c>
      <c r="N15" s="99" t="s">
        <v>53</v>
      </c>
      <c r="O15" s="134" t="s">
        <v>480</v>
      </c>
      <c r="P15" s="101">
        <v>100.0</v>
      </c>
      <c r="Q15" s="70"/>
      <c r="R15" s="102" t="s">
        <v>481</v>
      </c>
    </row>
    <row r="16" ht="12.75" customHeight="1">
      <c r="A16" s="135" t="s">
        <v>79</v>
      </c>
      <c r="B16" s="136" t="b">
        <v>0</v>
      </c>
      <c r="C16" s="137"/>
      <c r="D16" s="138" t="s">
        <v>80</v>
      </c>
      <c r="E16" s="138" t="s">
        <v>81</v>
      </c>
      <c r="F16" s="139"/>
      <c r="G16" s="112"/>
      <c r="H16" s="140"/>
      <c r="I16" s="141"/>
      <c r="J16" s="142"/>
      <c r="K16" s="104" t="s">
        <v>82</v>
      </c>
      <c r="L16" s="105" t="s">
        <v>482</v>
      </c>
      <c r="M16" s="336">
        <v>46007.0</v>
      </c>
      <c r="N16" s="426">
        <v>46007.0</v>
      </c>
      <c r="O16" s="108" t="s">
        <v>83</v>
      </c>
      <c r="P16" s="109">
        <v>92.0</v>
      </c>
      <c r="Q16" s="66"/>
      <c r="R16" s="110"/>
    </row>
    <row r="17" ht="12.75" customHeight="1">
      <c r="A17" s="135" t="s">
        <v>84</v>
      </c>
      <c r="B17" s="136" t="b">
        <v>0</v>
      </c>
      <c r="C17" s="139" t="s">
        <v>85</v>
      </c>
      <c r="D17" s="112">
        <v>55.0</v>
      </c>
      <c r="E17" s="140">
        <v>100.0</v>
      </c>
      <c r="F17" s="139"/>
      <c r="G17" s="112"/>
      <c r="H17" s="140"/>
      <c r="I17" s="132" t="s">
        <v>86</v>
      </c>
      <c r="J17" s="144"/>
      <c r="K17" s="104"/>
      <c r="L17" s="105"/>
      <c r="M17" s="112"/>
      <c r="N17" s="113"/>
      <c r="O17" s="108" t="s">
        <v>89</v>
      </c>
      <c r="P17" s="109" t="s">
        <v>483</v>
      </c>
      <c r="Q17" s="66"/>
      <c r="R17" s="110"/>
    </row>
    <row r="18" ht="12.75" customHeight="1">
      <c r="A18" s="146" t="s">
        <v>90</v>
      </c>
      <c r="B18" s="147" t="b">
        <v>1</v>
      </c>
      <c r="C18" s="139" t="s">
        <v>83</v>
      </c>
      <c r="D18" s="112">
        <v>79.0</v>
      </c>
      <c r="E18" s="140">
        <v>94.0</v>
      </c>
      <c r="F18" s="139"/>
      <c r="G18" s="112"/>
      <c r="H18" s="140"/>
      <c r="I18" s="141"/>
      <c r="J18" s="142"/>
      <c r="K18" s="104"/>
      <c r="L18" s="105"/>
      <c r="M18" s="112"/>
      <c r="N18" s="148"/>
      <c r="O18" s="149" t="s">
        <v>91</v>
      </c>
      <c r="P18" s="116" t="s">
        <v>65</v>
      </c>
      <c r="Q18" s="66"/>
      <c r="R18" s="110"/>
    </row>
    <row r="19" ht="12.75" customHeight="1">
      <c r="A19" s="122" t="s">
        <v>93</v>
      </c>
      <c r="B19" s="123"/>
      <c r="C19" s="139" t="s">
        <v>94</v>
      </c>
      <c r="D19" s="112">
        <v>13.0</v>
      </c>
      <c r="E19" s="140">
        <v>22.0</v>
      </c>
      <c r="F19" s="139"/>
      <c r="G19" s="112"/>
      <c r="H19" s="140"/>
      <c r="I19" s="132" t="s">
        <v>95</v>
      </c>
      <c r="J19" s="150">
        <f>1346</f>
        <v>1346</v>
      </c>
      <c r="K19" s="104"/>
      <c r="L19" s="105"/>
      <c r="M19" s="112"/>
      <c r="N19" s="148"/>
      <c r="O19" s="149" t="s">
        <v>96</v>
      </c>
      <c r="P19" s="116" t="s">
        <v>65</v>
      </c>
      <c r="Q19" s="66"/>
      <c r="R19" s="110"/>
    </row>
    <row r="20" ht="12.75" customHeight="1">
      <c r="A20" s="135" t="s">
        <v>97</v>
      </c>
      <c r="B20" s="136" t="b">
        <v>0</v>
      </c>
      <c r="C20" s="139" t="s">
        <v>98</v>
      </c>
      <c r="D20" s="427" t="s">
        <v>484</v>
      </c>
      <c r="E20" s="140">
        <v>37.8</v>
      </c>
      <c r="F20" s="152" t="s">
        <v>99</v>
      </c>
      <c r="G20" s="74"/>
      <c r="H20" s="126"/>
      <c r="I20" s="141"/>
      <c r="J20" s="142"/>
      <c r="K20" s="117"/>
      <c r="L20" s="153"/>
      <c r="M20" s="118"/>
      <c r="N20" s="119"/>
      <c r="O20" s="120" t="s">
        <v>100</v>
      </c>
      <c r="P20" s="121" t="s">
        <v>92</v>
      </c>
      <c r="Q20" s="80"/>
      <c r="R20" s="81"/>
    </row>
    <row r="21" ht="12.75" customHeight="1">
      <c r="A21" s="135" t="s">
        <v>101</v>
      </c>
      <c r="B21" s="136" t="b">
        <v>1</v>
      </c>
      <c r="C21" s="139" t="s">
        <v>102</v>
      </c>
      <c r="D21" s="112">
        <v>94.0</v>
      </c>
      <c r="E21" s="140">
        <v>100.0</v>
      </c>
      <c r="F21" s="154"/>
      <c r="G21" s="66"/>
      <c r="H21" s="140"/>
      <c r="I21" s="152" t="s">
        <v>104</v>
      </c>
      <c r="J21" s="126"/>
      <c r="K21" s="91" t="s">
        <v>105</v>
      </c>
      <c r="L21" s="92"/>
      <c r="M21" s="92"/>
      <c r="N21" s="92"/>
      <c r="O21" s="92"/>
      <c r="P21" s="92"/>
      <c r="Q21" s="92"/>
      <c r="R21" s="93"/>
    </row>
    <row r="22" ht="12.75" customHeight="1">
      <c r="A22" s="146" t="s">
        <v>106</v>
      </c>
      <c r="B22" s="147" t="b">
        <v>0</v>
      </c>
      <c r="C22" s="139" t="s">
        <v>107</v>
      </c>
      <c r="D22" s="112">
        <v>97.0</v>
      </c>
      <c r="E22" s="140">
        <v>140.0</v>
      </c>
      <c r="F22" s="154"/>
      <c r="G22" s="66"/>
      <c r="H22" s="140"/>
      <c r="I22" s="218" t="s">
        <v>87</v>
      </c>
      <c r="J22" s="96"/>
      <c r="K22" s="301" t="s">
        <v>108</v>
      </c>
      <c r="L22" s="350" t="s">
        <v>230</v>
      </c>
      <c r="M22" s="303" t="s">
        <v>110</v>
      </c>
      <c r="N22" s="304" t="s">
        <v>440</v>
      </c>
      <c r="O22" s="160" t="s">
        <v>111</v>
      </c>
      <c r="P22" s="157">
        <v>23.0</v>
      </c>
      <c r="Q22" s="161" t="s">
        <v>112</v>
      </c>
      <c r="R22" s="102" t="s">
        <v>485</v>
      </c>
    </row>
    <row r="23" ht="12.75" customHeight="1">
      <c r="A23" s="122" t="s">
        <v>114</v>
      </c>
      <c r="B23" s="123"/>
      <c r="C23" s="139"/>
      <c r="D23" s="428"/>
      <c r="E23" s="429"/>
      <c r="F23" s="164"/>
      <c r="G23" s="165"/>
      <c r="H23" s="163"/>
      <c r="I23" s="166"/>
      <c r="J23" s="167"/>
      <c r="K23" s="168" t="s">
        <v>115</v>
      </c>
      <c r="L23" s="169"/>
      <c r="M23" s="170" t="s">
        <v>94</v>
      </c>
      <c r="N23" s="169">
        <v>14.0</v>
      </c>
      <c r="O23" s="170" t="s">
        <v>116</v>
      </c>
      <c r="P23" s="169"/>
      <c r="Q23" s="171"/>
      <c r="R23" s="110"/>
    </row>
    <row r="24" ht="12.75" customHeight="1">
      <c r="A24" s="103" t="s">
        <v>486</v>
      </c>
      <c r="B24" s="96"/>
      <c r="C24" s="122" t="s">
        <v>118</v>
      </c>
      <c r="D24" s="47"/>
      <c r="E24" s="123"/>
      <c r="F24" s="172" t="s">
        <v>119</v>
      </c>
      <c r="G24" s="47"/>
      <c r="H24" s="47"/>
      <c r="I24" s="47"/>
      <c r="J24" s="123"/>
      <c r="K24" s="168" t="s">
        <v>120</v>
      </c>
      <c r="L24" s="169"/>
      <c r="M24" s="170" t="s">
        <v>121</v>
      </c>
      <c r="N24" s="169">
        <v>21.0</v>
      </c>
      <c r="O24" s="170" t="s">
        <v>122</v>
      </c>
      <c r="P24" s="169"/>
      <c r="Q24" s="173" t="s">
        <v>123</v>
      </c>
      <c r="R24" s="110"/>
    </row>
    <row r="25" ht="12.75" customHeight="1">
      <c r="A25" s="111"/>
      <c r="B25" s="88"/>
      <c r="C25" s="174"/>
      <c r="D25" s="175" t="s">
        <v>124</v>
      </c>
      <c r="E25" s="176" t="s">
        <v>125</v>
      </c>
      <c r="F25" s="177" t="s">
        <v>37</v>
      </c>
      <c r="G25" s="178" t="s">
        <v>126</v>
      </c>
      <c r="H25" s="179" t="s">
        <v>127</v>
      </c>
      <c r="I25" s="74"/>
      <c r="J25" s="126"/>
      <c r="K25" s="168" t="s">
        <v>128</v>
      </c>
      <c r="L25" s="169"/>
      <c r="M25" s="170" t="s">
        <v>129</v>
      </c>
      <c r="N25" s="169">
        <v>6.0</v>
      </c>
      <c r="O25" s="170" t="s">
        <v>130</v>
      </c>
      <c r="P25" s="169"/>
      <c r="Q25" s="171"/>
      <c r="R25" s="110"/>
    </row>
    <row r="26" ht="12.75" customHeight="1">
      <c r="A26" s="111"/>
      <c r="B26" s="88"/>
      <c r="C26" s="135" t="s">
        <v>132</v>
      </c>
      <c r="D26" s="225"/>
      <c r="E26" s="136">
        <v>12.0</v>
      </c>
      <c r="F26" s="305">
        <v>46007.0</v>
      </c>
      <c r="G26" s="182" t="s">
        <v>271</v>
      </c>
      <c r="H26" s="187"/>
      <c r="I26" s="74"/>
      <c r="J26" s="126"/>
      <c r="K26" s="168" t="s">
        <v>135</v>
      </c>
      <c r="L26" s="184"/>
      <c r="M26" s="170" t="s">
        <v>136</v>
      </c>
      <c r="N26" s="169">
        <v>7.0</v>
      </c>
      <c r="O26" s="170" t="s">
        <v>137</v>
      </c>
      <c r="P26" s="169"/>
      <c r="Q26" s="173" t="s">
        <v>138</v>
      </c>
      <c r="R26" s="110"/>
    </row>
    <row r="27" ht="17.25" customHeight="1">
      <c r="A27" s="111"/>
      <c r="B27" s="88"/>
      <c r="C27" s="135" t="s">
        <v>139</v>
      </c>
      <c r="D27" s="225"/>
      <c r="E27" s="136"/>
      <c r="F27" s="305">
        <v>46007.0</v>
      </c>
      <c r="G27" s="182" t="s">
        <v>325</v>
      </c>
      <c r="H27" s="187"/>
      <c r="I27" s="74"/>
      <c r="J27" s="126"/>
      <c r="K27" s="188" t="s">
        <v>140</v>
      </c>
      <c r="L27" s="189">
        <v>30.0</v>
      </c>
      <c r="M27" s="190" t="s">
        <v>141</v>
      </c>
      <c r="N27" s="189"/>
      <c r="O27" s="190" t="s">
        <v>142</v>
      </c>
      <c r="P27" s="189"/>
      <c r="Q27" s="180"/>
      <c r="R27" s="81"/>
    </row>
    <row r="28" ht="12.75" customHeight="1">
      <c r="A28" s="166"/>
      <c r="B28" s="167"/>
      <c r="C28" s="135" t="s">
        <v>143</v>
      </c>
      <c r="D28" s="225">
        <v>19510.0</v>
      </c>
      <c r="E28" s="191">
        <v>13660.0</v>
      </c>
      <c r="F28" s="305">
        <v>46007.0</v>
      </c>
      <c r="G28" s="182" t="s">
        <v>326</v>
      </c>
      <c r="H28" s="187"/>
      <c r="I28" s="74"/>
      <c r="J28" s="126"/>
      <c r="K28" s="91" t="s">
        <v>144</v>
      </c>
      <c r="L28" s="92"/>
      <c r="M28" s="92"/>
      <c r="N28" s="92"/>
      <c r="O28" s="92"/>
      <c r="P28" s="92"/>
      <c r="Q28" s="92"/>
      <c r="R28" s="93"/>
    </row>
    <row r="29" ht="12.75" customHeight="1">
      <c r="A29" s="124" t="s">
        <v>145</v>
      </c>
      <c r="B29" s="123"/>
      <c r="C29" s="135" t="s">
        <v>146</v>
      </c>
      <c r="D29" s="219"/>
      <c r="E29" s="191"/>
      <c r="F29" s="305">
        <v>46007.0</v>
      </c>
      <c r="G29" s="182" t="s">
        <v>133</v>
      </c>
      <c r="H29" s="187"/>
      <c r="I29" s="74"/>
      <c r="J29" s="126"/>
      <c r="K29" s="192" t="s">
        <v>5</v>
      </c>
      <c r="L29" s="193" t="s">
        <v>487</v>
      </c>
      <c r="M29" s="70"/>
      <c r="N29" s="194" t="s">
        <v>148</v>
      </c>
      <c r="O29" s="195" t="s">
        <v>103</v>
      </c>
      <c r="P29" s="196" t="s">
        <v>149</v>
      </c>
      <c r="Q29" s="430">
        <v>81.7</v>
      </c>
      <c r="R29" s="102" t="s">
        <v>488</v>
      </c>
    </row>
    <row r="30" ht="12.75" customHeight="1">
      <c r="A30" s="139" t="s">
        <v>151</v>
      </c>
      <c r="B30" s="140" t="s">
        <v>489</v>
      </c>
      <c r="C30" s="135" t="s">
        <v>153</v>
      </c>
      <c r="D30" s="225">
        <v>45.0</v>
      </c>
      <c r="E30" s="136">
        <v>65.0</v>
      </c>
      <c r="F30" s="185"/>
      <c r="G30" s="186"/>
      <c r="H30" s="187"/>
      <c r="I30" s="74"/>
      <c r="J30" s="126"/>
      <c r="K30" s="199" t="s">
        <v>154</v>
      </c>
      <c r="L30" s="113">
        <v>0.0</v>
      </c>
      <c r="M30" s="173" t="s">
        <v>156</v>
      </c>
      <c r="N30" s="66"/>
      <c r="O30" s="169" t="s">
        <v>490</v>
      </c>
      <c r="P30" s="200" t="s">
        <v>158</v>
      </c>
      <c r="Q30" s="201" t="s">
        <v>159</v>
      </c>
      <c r="R30" s="110"/>
    </row>
    <row r="31" ht="12.75" customHeight="1">
      <c r="A31" s="139" t="s">
        <v>160</v>
      </c>
      <c r="B31" s="140" t="s">
        <v>491</v>
      </c>
      <c r="C31" s="135" t="s">
        <v>162</v>
      </c>
      <c r="D31" s="225"/>
      <c r="E31" s="136"/>
      <c r="F31" s="139"/>
      <c r="G31" s="112"/>
      <c r="H31" s="187"/>
      <c r="I31" s="74"/>
      <c r="J31" s="126"/>
      <c r="K31" s="168" t="s">
        <v>163</v>
      </c>
      <c r="L31" s="202" t="s">
        <v>92</v>
      </c>
      <c r="M31" s="66"/>
      <c r="N31" s="203" t="s">
        <v>492</v>
      </c>
      <c r="O31" s="79"/>
      <c r="P31" s="79"/>
      <c r="Q31" s="80"/>
      <c r="R31" s="110"/>
    </row>
    <row r="32" ht="12.75" customHeight="1">
      <c r="A32" s="139" t="s">
        <v>165</v>
      </c>
      <c r="B32" s="140" t="s">
        <v>448</v>
      </c>
      <c r="C32" s="135" t="s">
        <v>167</v>
      </c>
      <c r="D32" s="219"/>
      <c r="E32" s="136"/>
      <c r="F32" s="139"/>
      <c r="G32" s="112"/>
      <c r="H32" s="187"/>
      <c r="I32" s="74"/>
      <c r="J32" s="126"/>
      <c r="K32" s="204" t="s">
        <v>168</v>
      </c>
      <c r="L32" s="116" t="s">
        <v>65</v>
      </c>
      <c r="M32" s="66"/>
      <c r="N32" s="205"/>
      <c r="Q32" s="206"/>
      <c r="R32" s="110"/>
    </row>
    <row r="33" ht="12.75" customHeight="1">
      <c r="A33" s="135" t="s">
        <v>169</v>
      </c>
      <c r="B33" s="136">
        <v>100.0</v>
      </c>
      <c r="C33" s="135" t="s">
        <v>170</v>
      </c>
      <c r="D33" s="219"/>
      <c r="E33" s="136"/>
      <c r="F33" s="139"/>
      <c r="G33" s="112"/>
      <c r="H33" s="187"/>
      <c r="I33" s="74"/>
      <c r="J33" s="126"/>
      <c r="K33" s="204" t="s">
        <v>171</v>
      </c>
      <c r="L33" s="116" t="s">
        <v>92</v>
      </c>
      <c r="M33" s="66"/>
      <c r="N33" s="205"/>
      <c r="Q33" s="206"/>
      <c r="R33" s="110"/>
    </row>
    <row r="34" ht="12.75" customHeight="1">
      <c r="A34" s="174" t="s">
        <v>172</v>
      </c>
      <c r="B34" s="136"/>
      <c r="C34" s="135" t="s">
        <v>173</v>
      </c>
      <c r="D34" s="219"/>
      <c r="E34" s="136">
        <v>3.5</v>
      </c>
      <c r="F34" s="207"/>
      <c r="G34" s="162"/>
      <c r="H34" s="208"/>
      <c r="I34" s="209"/>
      <c r="J34" s="210"/>
      <c r="K34" s="211" t="s">
        <v>174</v>
      </c>
      <c r="L34" s="121" t="s">
        <v>65</v>
      </c>
      <c r="M34" s="80"/>
      <c r="N34" s="68"/>
      <c r="O34" s="69"/>
      <c r="P34" s="69"/>
      <c r="Q34" s="70"/>
      <c r="R34" s="81"/>
    </row>
    <row r="35" ht="12.75" customHeight="1">
      <c r="A35" s="212" t="s">
        <v>175</v>
      </c>
      <c r="B35" s="147"/>
      <c r="C35" s="135" t="s">
        <v>176</v>
      </c>
      <c r="D35" s="225"/>
      <c r="E35" s="136"/>
      <c r="F35" s="124" t="s">
        <v>177</v>
      </c>
      <c r="G35" s="47"/>
      <c r="H35" s="47"/>
      <c r="I35" s="47"/>
      <c r="J35" s="123"/>
      <c r="K35" s="91" t="s">
        <v>178</v>
      </c>
      <c r="L35" s="92"/>
      <c r="M35" s="92"/>
      <c r="N35" s="92"/>
      <c r="O35" s="92"/>
      <c r="P35" s="92"/>
      <c r="Q35" s="92"/>
      <c r="R35" s="93"/>
    </row>
    <row r="36" ht="18.75" customHeight="1">
      <c r="A36" s="213" t="s">
        <v>179</v>
      </c>
      <c r="B36" s="123"/>
      <c r="C36" s="135" t="s">
        <v>180</v>
      </c>
      <c r="D36" s="219"/>
      <c r="E36" s="136"/>
      <c r="F36" s="129" t="s">
        <v>37</v>
      </c>
      <c r="G36" s="130" t="s">
        <v>126</v>
      </c>
      <c r="H36" s="214" t="s">
        <v>127</v>
      </c>
      <c r="I36" s="74"/>
      <c r="J36" s="126"/>
      <c r="K36" s="215" t="s">
        <v>181</v>
      </c>
      <c r="L36" s="216" t="s">
        <v>65</v>
      </c>
      <c r="M36" s="70"/>
      <c r="N36" s="217" t="s">
        <v>182</v>
      </c>
      <c r="Q36" s="206"/>
      <c r="R36" s="102"/>
    </row>
    <row r="37" ht="12.75" customHeight="1">
      <c r="A37" s="218" t="s">
        <v>493</v>
      </c>
      <c r="B37" s="96"/>
      <c r="C37" s="135" t="s">
        <v>185</v>
      </c>
      <c r="D37" s="219"/>
      <c r="E37" s="220"/>
      <c r="F37" s="431">
        <v>46007.0</v>
      </c>
      <c r="G37" s="112" t="s">
        <v>494</v>
      </c>
      <c r="H37" s="308" t="s">
        <v>495</v>
      </c>
      <c r="I37" s="74"/>
      <c r="J37" s="126"/>
      <c r="K37" s="204" t="s">
        <v>188</v>
      </c>
      <c r="L37" s="116" t="s">
        <v>92</v>
      </c>
      <c r="M37" s="66"/>
      <c r="N37" s="205"/>
      <c r="Q37" s="206"/>
      <c r="R37" s="110"/>
    </row>
    <row r="38" ht="12.75" customHeight="1">
      <c r="A38" s="111"/>
      <c r="B38" s="88"/>
      <c r="C38" s="135" t="s">
        <v>189</v>
      </c>
      <c r="D38" s="136">
        <v>1.16</v>
      </c>
      <c r="E38" s="136"/>
      <c r="F38" s="431">
        <v>46007.0</v>
      </c>
      <c r="G38" s="112" t="s">
        <v>496</v>
      </c>
      <c r="H38" s="308" t="s">
        <v>497</v>
      </c>
      <c r="I38" s="74"/>
      <c r="J38" s="126"/>
      <c r="K38" s="204" t="s">
        <v>190</v>
      </c>
      <c r="L38" s="224">
        <f>(J15/Q29)/E15</f>
        <v>0.280497756</v>
      </c>
      <c r="M38" s="66"/>
      <c r="N38" s="205"/>
      <c r="Q38" s="206"/>
      <c r="R38" s="110"/>
    </row>
    <row r="39" ht="12.75" customHeight="1">
      <c r="A39" s="111"/>
      <c r="B39" s="88"/>
      <c r="C39" s="135" t="s">
        <v>191</v>
      </c>
      <c r="D39" s="136">
        <v>531.0</v>
      </c>
      <c r="E39" s="136">
        <v>324.0</v>
      </c>
      <c r="F39" s="139"/>
      <c r="G39" s="112"/>
      <c r="H39" s="116"/>
      <c r="I39" s="74"/>
      <c r="J39" s="126"/>
      <c r="K39" s="204" t="s">
        <v>192</v>
      </c>
      <c r="L39" s="116" t="s">
        <v>92</v>
      </c>
      <c r="M39" s="66"/>
      <c r="N39" s="205"/>
      <c r="Q39" s="206"/>
      <c r="R39" s="110"/>
    </row>
    <row r="40" ht="12.75" customHeight="1">
      <c r="A40" s="111"/>
      <c r="B40" s="88"/>
      <c r="C40" s="135" t="s">
        <v>193</v>
      </c>
      <c r="D40" s="136">
        <v>39.0</v>
      </c>
      <c r="E40" s="136"/>
      <c r="F40" s="139"/>
      <c r="G40" s="112"/>
      <c r="H40" s="116"/>
      <c r="I40" s="74"/>
      <c r="J40" s="126"/>
      <c r="K40" s="211" t="s">
        <v>194</v>
      </c>
      <c r="L40" s="121"/>
      <c r="M40" s="80"/>
      <c r="N40" s="68"/>
      <c r="O40" s="69"/>
      <c r="P40" s="69"/>
      <c r="Q40" s="70"/>
      <c r="R40" s="81"/>
    </row>
    <row r="41" ht="12.75" customHeight="1">
      <c r="A41" s="111"/>
      <c r="B41" s="88"/>
      <c r="C41" s="135" t="s">
        <v>195</v>
      </c>
      <c r="D41" s="225"/>
      <c r="E41" s="220"/>
      <c r="F41" s="139"/>
      <c r="G41" s="112"/>
      <c r="H41" s="116"/>
      <c r="I41" s="74"/>
      <c r="J41" s="126"/>
      <c r="K41" s="91" t="s">
        <v>196</v>
      </c>
      <c r="L41" s="92"/>
      <c r="M41" s="92"/>
      <c r="N41" s="92"/>
      <c r="O41" s="92"/>
      <c r="P41" s="92"/>
      <c r="Q41" s="92"/>
      <c r="R41" s="93"/>
    </row>
    <row r="42" ht="12.75" customHeight="1">
      <c r="A42" s="111"/>
      <c r="B42" s="88"/>
      <c r="C42" s="310" t="s">
        <v>197</v>
      </c>
      <c r="D42" s="227"/>
      <c r="E42" s="228"/>
      <c r="F42" s="207"/>
      <c r="G42" s="162"/>
      <c r="H42" s="229"/>
      <c r="I42" s="209"/>
      <c r="J42" s="210"/>
      <c r="K42" s="230" t="s">
        <v>198</v>
      </c>
      <c r="L42" s="70"/>
      <c r="M42" s="231" t="s">
        <v>65</v>
      </c>
      <c r="N42" s="70"/>
      <c r="O42" s="232" t="s">
        <v>199</v>
      </c>
      <c r="P42" s="232" t="s">
        <v>200</v>
      </c>
      <c r="Q42" s="233" t="s">
        <v>53</v>
      </c>
      <c r="R42" s="102" t="s">
        <v>498</v>
      </c>
    </row>
    <row r="43" ht="19.5" customHeight="1">
      <c r="A43" s="111"/>
      <c r="B43" s="88"/>
      <c r="C43" s="234" t="s">
        <v>202</v>
      </c>
      <c r="D43" s="235"/>
      <c r="E43" s="236"/>
      <c r="F43" s="237" t="s">
        <v>203</v>
      </c>
      <c r="G43" s="47"/>
      <c r="H43" s="47"/>
      <c r="I43" s="47"/>
      <c r="J43" s="123"/>
      <c r="K43" s="238" t="s">
        <v>204</v>
      </c>
      <c r="L43" s="66"/>
      <c r="M43" s="239" t="s">
        <v>306</v>
      </c>
      <c r="N43" s="66"/>
      <c r="O43" s="240" t="s">
        <v>295</v>
      </c>
      <c r="P43" s="241">
        <v>46008.0</v>
      </c>
      <c r="Q43" s="242"/>
      <c r="R43" s="110"/>
    </row>
    <row r="44" ht="12.75" customHeight="1">
      <c r="A44" s="111"/>
      <c r="B44" s="88"/>
      <c r="C44" s="243" t="s">
        <v>296</v>
      </c>
      <c r="D44" s="244"/>
      <c r="E44" s="245"/>
      <c r="F44" s="246" t="s">
        <v>126</v>
      </c>
      <c r="G44" s="247" t="s">
        <v>206</v>
      </c>
      <c r="H44" s="178" t="s">
        <v>207</v>
      </c>
      <c r="I44" s="178" t="s">
        <v>208</v>
      </c>
      <c r="J44" s="248" t="s">
        <v>209</v>
      </c>
      <c r="K44" s="238" t="s">
        <v>210</v>
      </c>
      <c r="L44" s="66"/>
      <c r="M44" s="239" t="s">
        <v>92</v>
      </c>
      <c r="N44" s="66"/>
      <c r="O44" s="249" t="s">
        <v>499</v>
      </c>
      <c r="P44" s="250">
        <v>46008.0</v>
      </c>
      <c r="Q44" s="187"/>
      <c r="R44" s="110"/>
    </row>
    <row r="45" ht="12.75" customHeight="1">
      <c r="A45" s="111"/>
      <c r="B45" s="88"/>
      <c r="C45" s="243" t="s">
        <v>212</v>
      </c>
      <c r="D45" s="252"/>
      <c r="E45" s="253">
        <v>7.39</v>
      </c>
      <c r="F45" s="254" t="s">
        <v>456</v>
      </c>
      <c r="G45" s="112" t="s">
        <v>500</v>
      </c>
      <c r="H45" s="112"/>
      <c r="I45" s="145">
        <v>46007.0</v>
      </c>
      <c r="J45" s="140"/>
      <c r="K45" s="238" t="s">
        <v>215</v>
      </c>
      <c r="L45" s="66"/>
      <c r="M45" s="239" t="s">
        <v>92</v>
      </c>
      <c r="N45" s="66"/>
      <c r="O45" s="240"/>
      <c r="P45" s="256"/>
      <c r="Q45" s="258"/>
      <c r="R45" s="110"/>
    </row>
    <row r="46" ht="12.75" customHeight="1">
      <c r="A46" s="111"/>
      <c r="B46" s="88"/>
      <c r="C46" s="243" t="s">
        <v>217</v>
      </c>
      <c r="D46" s="252"/>
      <c r="E46" s="253">
        <v>42.0</v>
      </c>
      <c r="F46" s="254" t="s">
        <v>230</v>
      </c>
      <c r="G46" s="112" t="s">
        <v>501</v>
      </c>
      <c r="H46" s="112">
        <v>24.0</v>
      </c>
      <c r="I46" s="145">
        <v>46007.0</v>
      </c>
      <c r="J46" s="140"/>
      <c r="K46" s="238" t="s">
        <v>220</v>
      </c>
      <c r="L46" s="66"/>
      <c r="M46" s="239" t="s">
        <v>65</v>
      </c>
      <c r="N46" s="66"/>
      <c r="O46" s="240"/>
      <c r="P46" s="240"/>
      <c r="Q46" s="258"/>
      <c r="R46" s="110"/>
    </row>
    <row r="47" ht="12.75" customHeight="1">
      <c r="A47" s="111"/>
      <c r="B47" s="88"/>
      <c r="C47" s="243" t="s">
        <v>222</v>
      </c>
      <c r="D47" s="252"/>
      <c r="E47" s="253">
        <v>61.0</v>
      </c>
      <c r="F47" s="254" t="s">
        <v>299</v>
      </c>
      <c r="G47" s="112" t="s">
        <v>502</v>
      </c>
      <c r="H47" s="259"/>
      <c r="I47" s="259">
        <v>46007.0</v>
      </c>
      <c r="J47" s="140"/>
      <c r="K47" s="260" t="s">
        <v>225</v>
      </c>
      <c r="L47" s="80"/>
      <c r="M47" s="121"/>
      <c r="N47" s="80"/>
      <c r="O47" s="261"/>
      <c r="P47" s="261"/>
      <c r="Q47" s="262"/>
      <c r="R47" s="81"/>
    </row>
    <row r="48" ht="12.75" customHeight="1">
      <c r="A48" s="111"/>
      <c r="B48" s="88"/>
      <c r="C48" s="243" t="s">
        <v>226</v>
      </c>
      <c r="D48" s="252"/>
      <c r="E48" s="253">
        <v>25.0</v>
      </c>
      <c r="F48" s="254" t="s">
        <v>223</v>
      </c>
      <c r="G48" s="112" t="s">
        <v>224</v>
      </c>
      <c r="H48" s="112"/>
      <c r="I48" s="145">
        <v>46008.0</v>
      </c>
      <c r="J48" s="263"/>
      <c r="K48" s="91" t="s">
        <v>228</v>
      </c>
      <c r="L48" s="92"/>
      <c r="M48" s="92"/>
      <c r="N48" s="92"/>
      <c r="O48" s="92"/>
      <c r="P48" s="92"/>
      <c r="Q48" s="92"/>
      <c r="R48" s="93"/>
    </row>
    <row r="49" ht="12.75" customHeight="1">
      <c r="A49" s="111"/>
      <c r="B49" s="88"/>
      <c r="C49" s="243" t="s">
        <v>229</v>
      </c>
      <c r="D49" s="252"/>
      <c r="E49" s="253">
        <v>0.3</v>
      </c>
      <c r="F49" s="254"/>
      <c r="G49" s="112"/>
      <c r="H49" s="112"/>
      <c r="I49" s="112"/>
      <c r="J49" s="140"/>
      <c r="K49" s="192" t="s">
        <v>232</v>
      </c>
      <c r="L49" s="193" t="s">
        <v>383</v>
      </c>
      <c r="M49" s="69"/>
      <c r="N49" s="70"/>
      <c r="O49" s="194" t="s">
        <v>234</v>
      </c>
      <c r="P49" s="265"/>
      <c r="Q49" s="70"/>
      <c r="R49" s="102" t="s">
        <v>503</v>
      </c>
    </row>
    <row r="50" ht="12.75" customHeight="1">
      <c r="A50" s="111"/>
      <c r="B50" s="88"/>
      <c r="C50" s="243" t="s">
        <v>237</v>
      </c>
      <c r="D50" s="252"/>
      <c r="E50" s="253">
        <v>91.0</v>
      </c>
      <c r="F50" s="254"/>
      <c r="G50" s="112"/>
      <c r="H50" s="112"/>
      <c r="I50" s="112"/>
      <c r="J50" s="140"/>
      <c r="K50" s="266" t="s">
        <v>238</v>
      </c>
      <c r="L50" s="267" t="s">
        <v>419</v>
      </c>
      <c r="M50" s="66"/>
      <c r="N50" s="268" t="s">
        <v>240</v>
      </c>
      <c r="O50" s="66"/>
      <c r="P50" s="269" t="s">
        <v>419</v>
      </c>
      <c r="Q50" s="66"/>
      <c r="R50" s="110"/>
    </row>
    <row r="51" ht="12.75" customHeight="1">
      <c r="A51" s="111"/>
      <c r="B51" s="88"/>
      <c r="C51" s="243" t="s">
        <v>241</v>
      </c>
      <c r="D51" s="252"/>
      <c r="E51" s="253">
        <v>290.0</v>
      </c>
      <c r="F51" s="270"/>
      <c r="G51" s="259"/>
      <c r="H51" s="259"/>
      <c r="I51" s="259"/>
      <c r="J51" s="140"/>
      <c r="K51" s="266" t="s">
        <v>242</v>
      </c>
      <c r="L51" s="267" t="s">
        <v>65</v>
      </c>
      <c r="M51" s="66"/>
      <c r="N51" s="271" t="s">
        <v>243</v>
      </c>
      <c r="O51" s="79"/>
      <c r="P51" s="79"/>
      <c r="Q51" s="80"/>
      <c r="R51" s="110"/>
    </row>
    <row r="52" ht="12.75" customHeight="1">
      <c r="A52" s="111"/>
      <c r="B52" s="88"/>
      <c r="C52" s="243"/>
      <c r="D52" s="252"/>
      <c r="E52" s="253"/>
      <c r="F52" s="254"/>
      <c r="G52" s="112"/>
      <c r="H52" s="112"/>
      <c r="I52" s="112"/>
      <c r="J52" s="263"/>
      <c r="K52" s="266" t="s">
        <v>244</v>
      </c>
      <c r="L52" s="267" t="s">
        <v>92</v>
      </c>
      <c r="M52" s="66"/>
      <c r="N52" s="205"/>
      <c r="Q52" s="206"/>
      <c r="R52" s="110"/>
    </row>
    <row r="53" ht="12.75" customHeight="1">
      <c r="A53" s="111"/>
      <c r="B53" s="88"/>
      <c r="C53" s="272" t="s">
        <v>245</v>
      </c>
      <c r="D53" s="273"/>
      <c r="E53" s="274"/>
      <c r="F53" s="254"/>
      <c r="G53" s="112"/>
      <c r="H53" s="112"/>
      <c r="I53" s="112"/>
      <c r="J53" s="263"/>
      <c r="K53" s="266" t="s">
        <v>246</v>
      </c>
      <c r="L53" s="267" t="s">
        <v>65</v>
      </c>
      <c r="M53" s="66"/>
      <c r="N53" s="205"/>
      <c r="Q53" s="206"/>
      <c r="R53" s="110"/>
    </row>
    <row r="54" ht="12.75" customHeight="1">
      <c r="A54" s="166"/>
      <c r="B54" s="167"/>
      <c r="C54" s="275"/>
      <c r="D54" s="276"/>
      <c r="E54" s="277"/>
      <c r="F54" s="278"/>
      <c r="G54" s="118"/>
      <c r="H54" s="118"/>
      <c r="I54" s="118"/>
      <c r="J54" s="279"/>
      <c r="K54" s="188" t="s">
        <v>247</v>
      </c>
      <c r="L54" s="180">
        <v>0.0</v>
      </c>
      <c r="M54" s="80"/>
      <c r="N54" s="280"/>
      <c r="O54" s="281"/>
      <c r="P54" s="281"/>
      <c r="Q54" s="282"/>
      <c r="R54" s="81"/>
    </row>
    <row r="55" ht="18.75" customHeight="1">
      <c r="A55" s="283" t="s">
        <v>248</v>
      </c>
      <c r="B55" s="315" t="s">
        <v>504</v>
      </c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285"/>
      <c r="Q55" s="285"/>
      <c r="R55" s="286"/>
    </row>
    <row r="56" ht="18.75" customHeight="1">
      <c r="A56" s="287"/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8"/>
      <c r="P56" s="288"/>
      <c r="Q56" s="288"/>
      <c r="R56" s="289"/>
    </row>
  </sheetData>
  <mergeCells count="126">
    <mergeCell ref="B4:Q4"/>
    <mergeCell ref="B5:Q5"/>
    <mergeCell ref="A6:B6"/>
    <mergeCell ref="C6:J6"/>
    <mergeCell ref="K6:Q6"/>
    <mergeCell ref="R8:R13"/>
    <mergeCell ref="P13:Q13"/>
    <mergeCell ref="K14:R14"/>
    <mergeCell ref="C8:J13"/>
    <mergeCell ref="C14:E14"/>
    <mergeCell ref="F14:H14"/>
    <mergeCell ref="I14:J14"/>
    <mergeCell ref="C15:D15"/>
    <mergeCell ref="I15:I16"/>
    <mergeCell ref="J15:J16"/>
    <mergeCell ref="I21:J21"/>
    <mergeCell ref="I22:J23"/>
    <mergeCell ref="I17:I18"/>
    <mergeCell ref="J17:J18"/>
    <mergeCell ref="I19:I20"/>
    <mergeCell ref="J19:J20"/>
    <mergeCell ref="F20:H20"/>
    <mergeCell ref="F21:G21"/>
    <mergeCell ref="F22:G22"/>
    <mergeCell ref="F23:G23"/>
    <mergeCell ref="A24:B28"/>
    <mergeCell ref="A29:B29"/>
    <mergeCell ref="A36:B36"/>
    <mergeCell ref="A37:B54"/>
    <mergeCell ref="C43:E43"/>
    <mergeCell ref="A55:A56"/>
    <mergeCell ref="A7:B8"/>
    <mergeCell ref="A9:B13"/>
    <mergeCell ref="A14:B14"/>
    <mergeCell ref="A15:B15"/>
    <mergeCell ref="A19:B19"/>
    <mergeCell ref="A23:B23"/>
    <mergeCell ref="C24:E24"/>
    <mergeCell ref="P19:Q19"/>
    <mergeCell ref="P20:Q20"/>
    <mergeCell ref="K21:R21"/>
    <mergeCell ref="F24:J24"/>
    <mergeCell ref="H25:J25"/>
    <mergeCell ref="H26:J26"/>
    <mergeCell ref="H27:J27"/>
    <mergeCell ref="H28:J28"/>
    <mergeCell ref="K28:R28"/>
    <mergeCell ref="H29:J29"/>
    <mergeCell ref="L29:M29"/>
    <mergeCell ref="H30:J30"/>
    <mergeCell ref="M30:N30"/>
    <mergeCell ref="H31:J31"/>
    <mergeCell ref="H34:J34"/>
    <mergeCell ref="F35:J35"/>
    <mergeCell ref="H36:J36"/>
    <mergeCell ref="L36:M36"/>
    <mergeCell ref="L31:M31"/>
    <mergeCell ref="H32:J32"/>
    <mergeCell ref="L32:M32"/>
    <mergeCell ref="H33:J33"/>
    <mergeCell ref="L33:M33"/>
    <mergeCell ref="L34:M34"/>
    <mergeCell ref="K35:R35"/>
    <mergeCell ref="D1:G1"/>
    <mergeCell ref="J1:J2"/>
    <mergeCell ref="K1:K2"/>
    <mergeCell ref="L1:L2"/>
    <mergeCell ref="M1:Q2"/>
    <mergeCell ref="H2:I2"/>
    <mergeCell ref="B3:Q3"/>
    <mergeCell ref="C7:J7"/>
    <mergeCell ref="K7:R7"/>
    <mergeCell ref="R4:R5"/>
    <mergeCell ref="P8:Q8"/>
    <mergeCell ref="P9:Q9"/>
    <mergeCell ref="P10:Q10"/>
    <mergeCell ref="R22:R27"/>
    <mergeCell ref="R29:R34"/>
    <mergeCell ref="R36:R40"/>
    <mergeCell ref="P11:Q11"/>
    <mergeCell ref="P12:Q12"/>
    <mergeCell ref="P15:Q15"/>
    <mergeCell ref="R15:R20"/>
    <mergeCell ref="P16:Q16"/>
    <mergeCell ref="P17:Q17"/>
    <mergeCell ref="P18:Q18"/>
    <mergeCell ref="L40:M40"/>
    <mergeCell ref="K41:R41"/>
    <mergeCell ref="F43:J43"/>
    <mergeCell ref="N51:Q54"/>
    <mergeCell ref="L52:M52"/>
    <mergeCell ref="L53:M53"/>
    <mergeCell ref="L54:M54"/>
    <mergeCell ref="B55:R56"/>
    <mergeCell ref="K47:L47"/>
    <mergeCell ref="M47:N47"/>
    <mergeCell ref="L49:N49"/>
    <mergeCell ref="P49:Q49"/>
    <mergeCell ref="R49:R54"/>
    <mergeCell ref="N50:O50"/>
    <mergeCell ref="P50:Q50"/>
    <mergeCell ref="N31:Q34"/>
    <mergeCell ref="N36:Q40"/>
    <mergeCell ref="H37:J37"/>
    <mergeCell ref="L37:M37"/>
    <mergeCell ref="H38:J38"/>
    <mergeCell ref="L38:M38"/>
    <mergeCell ref="L39:M39"/>
    <mergeCell ref="K43:L43"/>
    <mergeCell ref="M43:N43"/>
    <mergeCell ref="K44:L44"/>
    <mergeCell ref="M44:N44"/>
    <mergeCell ref="K45:L45"/>
    <mergeCell ref="M45:N45"/>
    <mergeCell ref="K46:L46"/>
    <mergeCell ref="M46:N46"/>
    <mergeCell ref="H39:J39"/>
    <mergeCell ref="H40:J40"/>
    <mergeCell ref="H41:J41"/>
    <mergeCell ref="H42:J42"/>
    <mergeCell ref="K42:L42"/>
    <mergeCell ref="M42:N42"/>
    <mergeCell ref="R42:R47"/>
    <mergeCell ref="K48:R48"/>
    <mergeCell ref="L50:M50"/>
    <mergeCell ref="L51:M51"/>
  </mergeCells>
  <conditionalFormatting sqref="D17:E17">
    <cfRule type="cellIs" dxfId="4" priority="1" operator="between">
      <formula>60</formula>
      <formula>100</formula>
    </cfRule>
  </conditionalFormatting>
  <conditionalFormatting sqref="D17:E17">
    <cfRule type="cellIs" dxfId="5" priority="2" operator="notBetween">
      <formula>60</formula>
      <formula>90</formula>
    </cfRule>
  </conditionalFormatting>
  <conditionalFormatting sqref="D18">
    <cfRule type="cellIs" dxfId="4" priority="3" operator="between">
      <formula>60</formula>
      <formula>100</formula>
    </cfRule>
  </conditionalFormatting>
  <conditionalFormatting sqref="D18">
    <cfRule type="cellIs" dxfId="5" priority="4" operator="notBetween">
      <formula>60</formula>
      <formula>100</formula>
    </cfRule>
  </conditionalFormatting>
  <conditionalFormatting sqref="E18">
    <cfRule type="cellIs" dxfId="4" priority="5" operator="between">
      <formula>60</formula>
      <formula>100</formula>
    </cfRule>
  </conditionalFormatting>
  <conditionalFormatting sqref="E18">
    <cfRule type="cellIs" dxfId="6" priority="6" operator="notBetween">
      <formula>60</formula>
      <formula>100</formula>
    </cfRule>
  </conditionalFormatting>
  <conditionalFormatting sqref="D19:E19">
    <cfRule type="cellIs" dxfId="4" priority="7" operator="between">
      <formula>12</formula>
      <formula>20</formula>
    </cfRule>
  </conditionalFormatting>
  <conditionalFormatting sqref="D19:E19">
    <cfRule type="cellIs" dxfId="5" priority="8" operator="notBetween">
      <formula>12</formula>
      <formula>20</formula>
    </cfRule>
  </conditionalFormatting>
  <conditionalFormatting sqref="D20:E20">
    <cfRule type="cellIs" dxfId="4" priority="9" operator="between">
      <formula>35</formula>
      <formula>37.7</formula>
    </cfRule>
  </conditionalFormatting>
  <conditionalFormatting sqref="D20:E20">
    <cfRule type="cellIs" dxfId="5" priority="10" operator="notBetween">
      <formula>35</formula>
      <formula>37.7</formula>
    </cfRule>
  </conditionalFormatting>
  <conditionalFormatting sqref="D21:E21">
    <cfRule type="cellIs" dxfId="4" priority="11" operator="between">
      <formula>92</formula>
      <formula>100</formula>
    </cfRule>
  </conditionalFormatting>
  <conditionalFormatting sqref="D21:E21">
    <cfRule type="cellIs" dxfId="5" priority="12" operator="notBetween">
      <formula>92</formula>
      <formula>100</formula>
    </cfRule>
  </conditionalFormatting>
  <conditionalFormatting sqref="D20:E23">
    <cfRule type="cellIs" dxfId="4" priority="13" operator="between">
      <formula>80</formula>
      <formula>180</formula>
    </cfRule>
  </conditionalFormatting>
  <conditionalFormatting sqref="D20:E23">
    <cfRule type="cellIs" dxfId="5" priority="14" operator="notBetween">
      <formula>80</formula>
      <formula>180</formula>
    </cfRule>
  </conditionalFormatting>
  <conditionalFormatting sqref="H2">
    <cfRule type="cellIs" dxfId="0" priority="15" operator="lessThanOrEqual">
      <formula>1</formula>
    </cfRule>
  </conditionalFormatting>
  <conditionalFormatting sqref="P16:Q16 D47:E47">
    <cfRule type="cellIs" dxfId="1" priority="16" operator="between">
      <formula>60</formula>
      <formula>100</formula>
    </cfRule>
  </conditionalFormatting>
  <conditionalFormatting sqref="P16:Q16">
    <cfRule type="cellIs" dxfId="2" priority="17" operator="notBetween">
      <formula>60</formula>
      <formula>100</formula>
    </cfRule>
  </conditionalFormatting>
  <conditionalFormatting sqref="P15:Q15">
    <cfRule type="cellIs" dxfId="1" priority="18" operator="between">
      <formula>60</formula>
      <formula>100</formula>
    </cfRule>
  </conditionalFormatting>
  <conditionalFormatting sqref="P15:Q15 D47:E47">
    <cfRule type="cellIs" dxfId="3" priority="19" operator="notBetween">
      <formula>60</formula>
      <formula>100</formula>
    </cfRule>
  </conditionalFormatting>
  <conditionalFormatting sqref="P17:Q17">
    <cfRule type="cellIs" dxfId="1" priority="20" operator="between">
      <formula>1</formula>
      <formula>3</formula>
    </cfRule>
  </conditionalFormatting>
  <conditionalFormatting sqref="P17:Q17">
    <cfRule type="cellIs" dxfId="3" priority="21" operator="notBetween">
      <formula>1</formula>
      <formula>3</formula>
    </cfRule>
  </conditionalFormatting>
  <conditionalFormatting sqref="D19:E19 N23">
    <cfRule type="cellIs" dxfId="1" priority="22" operator="between">
      <formula>12</formula>
      <formula>20</formula>
    </cfRule>
  </conditionalFormatting>
  <conditionalFormatting sqref="N23">
    <cfRule type="cellIs" dxfId="3" priority="23" operator="notBetween">
      <formula>12</formula>
      <formula>20</formula>
    </cfRule>
  </conditionalFormatting>
  <conditionalFormatting sqref="N24">
    <cfRule type="cellIs" dxfId="1" priority="24" operator="between">
      <formula>21</formula>
      <formula>45</formula>
    </cfRule>
  </conditionalFormatting>
  <conditionalFormatting sqref="N24">
    <cfRule type="cellIs" dxfId="3" priority="25" operator="notBetween">
      <formula>21</formula>
      <formula>45</formula>
    </cfRule>
  </conditionalFormatting>
  <conditionalFormatting sqref="N25">
    <cfRule type="cellIs" dxfId="1" priority="26" operator="between">
      <formula>3</formula>
      <formula>10</formula>
    </cfRule>
  </conditionalFormatting>
  <conditionalFormatting sqref="N25">
    <cfRule type="cellIs" dxfId="3" priority="27" operator="notBetween">
      <formula>3</formula>
      <formula>10</formula>
    </cfRule>
  </conditionalFormatting>
  <conditionalFormatting sqref="L25:L27">
    <cfRule type="cellIs" dxfId="1" priority="28" operator="between">
      <formula>20</formula>
      <formula>35</formula>
    </cfRule>
  </conditionalFormatting>
  <conditionalFormatting sqref="L25:L27">
    <cfRule type="cellIs" dxfId="3" priority="29" operator="notBetween">
      <formula>20</formula>
      <formula>35</formula>
    </cfRule>
  </conditionalFormatting>
  <conditionalFormatting sqref="D17:E17">
    <cfRule type="cellIs" dxfId="1" priority="30" operator="between">
      <formula>60</formula>
      <formula>100</formula>
    </cfRule>
  </conditionalFormatting>
  <conditionalFormatting sqref="D17:E17">
    <cfRule type="cellIs" dxfId="8" priority="31" operator="notBetween">
      <formula>60</formula>
      <formula>90</formula>
    </cfRule>
  </conditionalFormatting>
  <conditionalFormatting sqref="D18">
    <cfRule type="cellIs" dxfId="1" priority="32" operator="between">
      <formula>60</formula>
      <formula>100</formula>
    </cfRule>
  </conditionalFormatting>
  <conditionalFormatting sqref="D18">
    <cfRule type="cellIs" dxfId="8" priority="33" operator="notBetween">
      <formula>60</formula>
      <formula>100</formula>
    </cfRule>
  </conditionalFormatting>
  <conditionalFormatting sqref="E18">
    <cfRule type="cellIs" dxfId="1" priority="34" operator="between">
      <formula>60</formula>
      <formula>100</formula>
    </cfRule>
  </conditionalFormatting>
  <conditionalFormatting sqref="E18">
    <cfRule type="cellIs" dxfId="3" priority="35" operator="notBetween">
      <formula>60</formula>
      <formula>100</formula>
    </cfRule>
  </conditionalFormatting>
  <conditionalFormatting sqref="D19:E19">
    <cfRule type="cellIs" dxfId="1" priority="36" operator="between">
      <formula>12</formula>
      <formula>20</formula>
    </cfRule>
  </conditionalFormatting>
  <conditionalFormatting sqref="D19:E19">
    <cfRule type="cellIs" dxfId="8" priority="37" operator="notBetween">
      <formula>12</formula>
      <formula>20</formula>
    </cfRule>
  </conditionalFormatting>
  <conditionalFormatting sqref="D20:E20">
    <cfRule type="cellIs" dxfId="1" priority="38" operator="between">
      <formula>35</formula>
      <formula>37.7</formula>
    </cfRule>
  </conditionalFormatting>
  <conditionalFormatting sqref="D20:E20">
    <cfRule type="cellIs" dxfId="8" priority="39" operator="notBetween">
      <formula>35</formula>
      <formula>37.7</formula>
    </cfRule>
  </conditionalFormatting>
  <conditionalFormatting sqref="D21:E21 D50:E50">
    <cfRule type="cellIs" dxfId="1" priority="40" operator="between">
      <formula>92</formula>
      <formula>100</formula>
    </cfRule>
  </conditionalFormatting>
  <conditionalFormatting sqref="D21:E21">
    <cfRule type="cellIs" dxfId="8" priority="41" operator="notBetween">
      <formula>92</formula>
      <formula>100</formula>
    </cfRule>
  </conditionalFormatting>
  <conditionalFormatting sqref="D21:E23">
    <cfRule type="cellIs" dxfId="1" priority="42" operator="between">
      <formula>80</formula>
      <formula>180</formula>
    </cfRule>
  </conditionalFormatting>
  <conditionalFormatting sqref="D21:E23">
    <cfRule type="cellIs" dxfId="8" priority="43" operator="notBetween">
      <formula>80</formula>
      <formula>180</formula>
    </cfRule>
  </conditionalFormatting>
  <conditionalFormatting sqref="J15:J16">
    <cfRule type="cellIs" dxfId="1" priority="44" operator="between">
      <formula>500</formula>
      <formula>2500</formula>
    </cfRule>
  </conditionalFormatting>
  <conditionalFormatting sqref="J15:J16">
    <cfRule type="cellIs" dxfId="3" priority="45" operator="notBetween">
      <formula>500</formula>
      <formula>2500</formula>
    </cfRule>
  </conditionalFormatting>
  <conditionalFormatting sqref="D26:E26">
    <cfRule type="cellIs" dxfId="1" priority="46" operator="between">
      <formula>7</formula>
      <formula>16</formula>
    </cfRule>
  </conditionalFormatting>
  <conditionalFormatting sqref="D26:E26">
    <cfRule type="cellIs" dxfId="3" priority="47" operator="notBetween">
      <formula>7</formula>
      <formula>16</formula>
    </cfRule>
  </conditionalFormatting>
  <conditionalFormatting sqref="D28:E28">
    <cfRule type="cellIs" dxfId="1" priority="48" operator="between">
      <formula>4000</formula>
      <formula>12000</formula>
    </cfRule>
  </conditionalFormatting>
  <conditionalFormatting sqref="D28:E28">
    <cfRule type="cellIs" dxfId="3" priority="49" operator="notBetween">
      <formula>4000</formula>
      <formula>12000</formula>
    </cfRule>
  </conditionalFormatting>
  <conditionalFormatting sqref="D29:E29">
    <cfRule type="cellIs" dxfId="1" priority="50" operator="between">
      <formula>150000</formula>
      <formula>500000</formula>
    </cfRule>
  </conditionalFormatting>
  <conditionalFormatting sqref="D29:E29">
    <cfRule type="cellIs" dxfId="3" priority="51" operator="notBetween">
      <formula>150000</formula>
      <formula>500000</formula>
    </cfRule>
  </conditionalFormatting>
  <conditionalFormatting sqref="D31:E31">
    <cfRule type="cellIs" dxfId="1" priority="52" operator="between">
      <formula>10</formula>
      <formula>45</formula>
    </cfRule>
  </conditionalFormatting>
  <conditionalFormatting sqref="D31:E31">
    <cfRule type="cellIs" dxfId="3" priority="53" operator="notBetween">
      <formula>10</formula>
      <formula>45</formula>
    </cfRule>
  </conditionalFormatting>
  <conditionalFormatting sqref="D32:E32">
    <cfRule type="cellIs" dxfId="1" priority="54" operator="between">
      <formula>0.5</formula>
      <formula>1.4</formula>
    </cfRule>
  </conditionalFormatting>
  <conditionalFormatting sqref="D32:E32">
    <cfRule type="cellIs" dxfId="3" priority="55" operator="notBetween">
      <formula>0.5</formula>
      <formula>1.4</formula>
    </cfRule>
  </conditionalFormatting>
  <conditionalFormatting sqref="D33:E33">
    <cfRule type="cellIs" dxfId="1" priority="56" operator="between">
      <formula>135</formula>
      <formula>145</formula>
    </cfRule>
  </conditionalFormatting>
  <conditionalFormatting sqref="D33:E33">
    <cfRule type="cellIs" dxfId="3" priority="57" operator="notBetween">
      <formula>135</formula>
      <formula>145</formula>
    </cfRule>
  </conditionalFormatting>
  <conditionalFormatting sqref="D34:E34">
    <cfRule type="cellIs" dxfId="1" priority="58" operator="between">
      <formula>3.5</formula>
      <formula>5.5</formula>
    </cfRule>
  </conditionalFormatting>
  <conditionalFormatting sqref="D34:E34">
    <cfRule type="cellIs" dxfId="3" priority="59" operator="notBetween">
      <formula>3.5</formula>
      <formula>5.5</formula>
    </cfRule>
  </conditionalFormatting>
  <conditionalFormatting sqref="D38:E38">
    <cfRule type="cellIs" dxfId="1" priority="60" operator="between">
      <formula>0</formula>
      <formula>0.1</formula>
    </cfRule>
  </conditionalFormatting>
  <conditionalFormatting sqref="D38:E38">
    <cfRule type="cellIs" dxfId="3" priority="61" operator="notBetween">
      <formula>0</formula>
      <formula>0.1</formula>
    </cfRule>
  </conditionalFormatting>
  <conditionalFormatting sqref="D45:E45">
    <cfRule type="cellIs" dxfId="1" priority="62" operator="between">
      <formula>7.35</formula>
      <formula>7.45</formula>
    </cfRule>
  </conditionalFormatting>
  <conditionalFormatting sqref="D45:E45">
    <cfRule type="cellIs" dxfId="3" priority="63" operator="notBetween">
      <formula>7.35</formula>
      <formula>7.45</formula>
    </cfRule>
  </conditionalFormatting>
  <conditionalFormatting sqref="D46:E46">
    <cfRule type="cellIs" dxfId="1" priority="64" operator="between">
      <formula>35</formula>
      <formula>45</formula>
    </cfRule>
  </conditionalFormatting>
  <conditionalFormatting sqref="D46:E46">
    <cfRule type="cellIs" dxfId="3" priority="65" operator="notBetween">
      <formula>35</formula>
      <formula>45</formula>
    </cfRule>
  </conditionalFormatting>
  <conditionalFormatting sqref="D47:E47">
    <cfRule type="cellIs" dxfId="1" priority="66" operator="between">
      <formula>60</formula>
      <formula>100</formula>
    </cfRule>
  </conditionalFormatting>
  <conditionalFormatting sqref="D47:E47">
    <cfRule type="cellIs" dxfId="3" priority="67" operator="notBetween">
      <formula>60</formula>
      <formula>100</formula>
    </cfRule>
  </conditionalFormatting>
  <conditionalFormatting sqref="D48:E48">
    <cfRule type="cellIs" dxfId="1" priority="68" operator="between">
      <formula>18</formula>
      <formula>30</formula>
    </cfRule>
  </conditionalFormatting>
  <conditionalFormatting sqref="D48:E48">
    <cfRule type="cellIs" dxfId="3" priority="69" operator="notBetween">
      <formula>18</formula>
      <formula>30</formula>
    </cfRule>
  </conditionalFormatting>
  <conditionalFormatting sqref="D49:E49">
    <cfRule type="cellIs" dxfId="1" priority="70" operator="between">
      <formula>-2</formula>
      <formula>2</formula>
    </cfRule>
  </conditionalFormatting>
  <conditionalFormatting sqref="D49:E49">
    <cfRule type="cellIs" dxfId="3" priority="71" operator="notBetween">
      <formula>-2</formula>
      <formula>2</formula>
    </cfRule>
  </conditionalFormatting>
  <conditionalFormatting sqref="D50:E50">
    <cfRule type="cellIs" dxfId="1" priority="72" operator="between">
      <formula>92</formula>
      <formula>100</formula>
    </cfRule>
  </conditionalFormatting>
  <conditionalFormatting sqref="D50:E50">
    <cfRule type="cellIs" dxfId="3" priority="73" operator="notBetween">
      <formula>92</formula>
      <formula>100</formula>
    </cfRule>
  </conditionalFormatting>
  <conditionalFormatting sqref="D51:E51">
    <cfRule type="cellIs" dxfId="1" priority="74" operator="between">
      <formula>400</formula>
      <formula>600</formula>
    </cfRule>
  </conditionalFormatting>
  <conditionalFormatting sqref="D51:E51">
    <cfRule type="cellIs" dxfId="3" priority="75" operator="notBetween">
      <formula>400</formula>
      <formula>600</formula>
    </cfRule>
  </conditionalFormatting>
  <conditionalFormatting sqref="B35">
    <cfRule type="cellIs" dxfId="1" priority="76" operator="between">
      <formula>0</formula>
      <formula>20</formula>
    </cfRule>
  </conditionalFormatting>
  <conditionalFormatting sqref="B35">
    <cfRule type="cellIs" dxfId="7" priority="77" operator="between">
      <formula>20</formula>
      <formula>50</formula>
    </cfRule>
  </conditionalFormatting>
  <conditionalFormatting sqref="B35">
    <cfRule type="cellIs" dxfId="8" priority="78" operator="between">
      <formula>50</formula>
      <formula>100</formula>
    </cfRule>
  </conditionalFormatting>
  <conditionalFormatting sqref="P8:Q8">
    <cfRule type="cellIs" dxfId="1" priority="79" operator="between">
      <formula>13</formula>
      <formula>15</formula>
    </cfRule>
  </conditionalFormatting>
  <conditionalFormatting sqref="P8:Q8">
    <cfRule type="cellIs" dxfId="3" priority="80" operator="notBetween">
      <formula>13</formula>
      <formula>15</formula>
    </cfRule>
  </conditionalFormatting>
  <conditionalFormatting sqref="P9:Q9">
    <cfRule type="cellIs" dxfId="1" priority="81" operator="between">
      <formula>0</formula>
      <formula>-2</formula>
    </cfRule>
  </conditionalFormatting>
  <conditionalFormatting sqref="P9:Q9">
    <cfRule type="cellIs" dxfId="3" priority="82" operator="notBetween">
      <formula>0</formula>
      <formula>-2</formula>
    </cfRule>
  </conditionalFormatting>
  <conditionalFormatting sqref="L49:N49">
    <cfRule type="notContainsBlanks" dxfId="3" priority="83">
      <formula>LEN(TRIM(L49))&gt;0</formula>
    </cfRule>
  </conditionalFormatting>
  <conditionalFormatting sqref="B33">
    <cfRule type="cellIs" dxfId="8" priority="84" operator="lessThan">
      <formula>40</formula>
    </cfRule>
  </conditionalFormatting>
  <conditionalFormatting sqref="B33">
    <cfRule type="cellIs" dxfId="9" priority="85" operator="between">
      <formula>40</formula>
      <formula>60</formula>
    </cfRule>
  </conditionalFormatting>
  <conditionalFormatting sqref="B33">
    <cfRule type="cellIs" dxfId="1" priority="86" operator="greaterThan">
      <formula>60</formula>
    </cfRule>
  </conditionalFormatting>
  <conditionalFormatting sqref="K1:K2">
    <cfRule type="notContainsBlanks" dxfId="8" priority="87">
      <formula>LEN(TRIM(K1))&gt;0</formula>
    </cfRule>
  </conditionalFormatting>
  <dataValidations>
    <dataValidation type="list" allowBlank="1" showErrorMessage="1" sqref="K9">
      <formula1>"MIDAZOLAM 2X,MIDAZOLAM 5X,FENTANIL 2X, FENTANIL 5X,TRIDIL 1X,DOBUTA 4X,PROPOFOL 5X,CETAMINA 2X,PRECEDEX 2X,ROCURONIO 5X"</formula1>
    </dataValidation>
    <dataValidation type="list" allowBlank="1" showErrorMessage="1" sqref="P20 L37 L39">
      <formula1>"SIM,NÃO"</formula1>
    </dataValidation>
    <dataValidation type="list" allowBlank="1" showErrorMessage="1" sqref="L29">
      <formula1>"JEJUM,GERAL,BRANDA,PASTOSA,LEVE,LIQ.C/RESÍDUO,LIQ.S/RESÍDUO,LIQ.FRIA,ÁGUA,CHÁ,GELATINA,DIBEN,HP ENERGI,ENERGI,DIAMAX"</formula1>
    </dataValidation>
    <dataValidation type="list" allowBlank="1" showErrorMessage="1" sqref="P49">
      <formula1>"N/A,I,II,III,IV,INCLASSIFICÁVEL"</formula1>
    </dataValidation>
    <dataValidation type="list" allowBlank="1" showErrorMessage="1" sqref="K16:K20">
      <formula1>"NORADRENALINA 4X,NORADRENALINA 8X,VASOPRESSINA 2X,NIPRID 1X, TRIDIL 1X,DOBUTAMINA 4X,DOPAMINA 5X,NIPRIDE X2"</formula1>
    </dataValidation>
    <dataValidation type="list" allowBlank="1" showErrorMessage="1" sqref="L22">
      <formula1>"TOT,TQT,VNI,CNO2,MNR,VENTURI,AA"</formula1>
    </dataValidation>
    <dataValidation type="list" allowBlank="1" showErrorMessage="1" sqref="P11:P13 P18 L31:L34 L36">
      <formula1>"SIM,NÃO"</formula1>
    </dataValidation>
    <dataValidation type="list" allowBlank="1" showErrorMessage="1" sqref="L23">
      <formula1>"1ºdia,2ºdia,3ºdia,4ºdia,5ºdia"</formula1>
    </dataValidation>
    <dataValidation type="list" allowBlank="1" showErrorMessage="1" sqref="P19">
      <formula1>"SIM,NÃO,N/A"</formula1>
    </dataValidation>
    <dataValidation type="list" allowBlank="1" showErrorMessage="1" sqref="M42:M43 M45">
      <formula1>"SIM,NÃO,N/A"</formula1>
    </dataValidation>
    <dataValidation type="list" allowBlank="1" showErrorMessage="1" sqref="K10:K13">
      <formula1>"MIDAZOLAM,FENTANIL,PROPOFOL,CETAMINA,PRECEDEX,ROCURONIO,PRECEDEX X2"</formula1>
    </dataValidation>
    <dataValidation type="list" allowBlank="1" showErrorMessage="1" sqref="O29">
      <formula1>"N/A,ORAL,SNE,GTT,PARENTERAL"</formula1>
    </dataValidation>
    <dataValidation type="list" allowBlank="1" showErrorMessage="1" sqref="M47">
      <formula1>"SANGRAMENTO,AGUARDA CC,QUEDA HB,PLAQUETOPENIA"</formula1>
    </dataValidation>
    <dataValidation type="list" allowBlank="1" showErrorMessage="1" sqref="M44 M46 L51:L53">
      <formula1>"SIM,NÃO,N/A"</formula1>
    </dataValidation>
  </dataValidations>
  <hyperlinks>
    <hyperlink r:id="rId1" ref="H37"/>
    <hyperlink r:id="rId2" ref="H38"/>
  </hyperlinks>
  <printOptions gridLines="1" horizontalCentered="1"/>
  <pageMargins bottom="0.14871749934278886" footer="0.0" header="0.0" left="0.18589687417848605" right="0.18589687417848605" top="0.18589687417848605"/>
  <pageSetup paperSize="9" cellComments="atEnd" orientation="landscape" pageOrder="overThenDown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9.88"/>
    <col customWidth="1" min="3" max="3" width="10.38"/>
    <col customWidth="1" min="4" max="5" width="8.63"/>
    <col customWidth="1" min="6" max="7" width="8.38"/>
    <col customWidth="1" min="8" max="8" width="9.13"/>
    <col customWidth="1" min="9" max="9" width="9.5"/>
    <col customWidth="1" min="10" max="10" width="9.38"/>
    <col customWidth="1" min="11" max="11" width="19.5"/>
    <col customWidth="1" min="12" max="12" width="10.5"/>
    <col customWidth="1" min="13" max="14" width="7.0"/>
    <col customWidth="1" min="15" max="15" width="13.13"/>
    <col customWidth="1" min="16" max="16" width="6.0"/>
    <col customWidth="1" min="17" max="17" width="9.25"/>
    <col customWidth="1" min="18" max="18" width="25.63"/>
  </cols>
  <sheetData>
    <row r="1" ht="16.5" customHeight="1">
      <c r="A1" s="43" t="s">
        <v>24</v>
      </c>
      <c r="B1" s="328">
        <v>46032.0</v>
      </c>
      <c r="C1" s="45" t="s">
        <v>25</v>
      </c>
      <c r="D1" s="329" t="s">
        <v>505</v>
      </c>
      <c r="E1" s="47"/>
      <c r="F1" s="47"/>
      <c r="G1" s="48"/>
      <c r="H1" s="49" t="s">
        <v>4</v>
      </c>
      <c r="I1" s="330">
        <v>36.0</v>
      </c>
      <c r="J1" s="345" t="s">
        <v>506</v>
      </c>
      <c r="K1" s="346" t="s">
        <v>507</v>
      </c>
      <c r="L1" s="53" t="s">
        <v>28</v>
      </c>
      <c r="M1" s="347" t="s">
        <v>508</v>
      </c>
      <c r="N1" s="55"/>
      <c r="O1" s="55"/>
      <c r="P1" s="55"/>
      <c r="Q1" s="56"/>
      <c r="R1" s="57" t="s">
        <v>30</v>
      </c>
    </row>
    <row r="2" ht="27.75" customHeight="1">
      <c r="A2" s="58" t="s">
        <v>31</v>
      </c>
      <c r="B2" s="332">
        <v>46007.0</v>
      </c>
      <c r="C2" s="60" t="s">
        <v>32</v>
      </c>
      <c r="D2" s="432">
        <v>46007.0</v>
      </c>
      <c r="E2" s="62" t="s">
        <v>33</v>
      </c>
      <c r="F2" s="348"/>
      <c r="G2" s="64" t="s">
        <v>34</v>
      </c>
      <c r="H2" s="349"/>
      <c r="I2" s="66"/>
      <c r="J2" s="67"/>
      <c r="K2" s="67"/>
      <c r="L2" s="67"/>
      <c r="M2" s="68"/>
      <c r="N2" s="69"/>
      <c r="O2" s="69"/>
      <c r="P2" s="69"/>
      <c r="Q2" s="70"/>
      <c r="R2" s="71">
        <v>10.0</v>
      </c>
    </row>
    <row r="3" ht="36.0" customHeight="1">
      <c r="A3" s="72" t="s">
        <v>35</v>
      </c>
      <c r="B3" s="334" t="s">
        <v>509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66"/>
      <c r="R3" s="75" t="s">
        <v>37</v>
      </c>
    </row>
    <row r="4" ht="30.75" customHeight="1">
      <c r="A4" s="72" t="s">
        <v>38</v>
      </c>
      <c r="B4" s="334" t="s">
        <v>510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66"/>
      <c r="R4" s="76">
        <f>TODAY()</f>
        <v>46009</v>
      </c>
    </row>
    <row r="5" ht="12.75" customHeight="1">
      <c r="A5" s="77" t="s">
        <v>40</v>
      </c>
      <c r="B5" s="335" t="s">
        <v>511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80"/>
      <c r="R5" s="81"/>
    </row>
    <row r="6" ht="12.75" customHeight="1">
      <c r="A6" s="82" t="s">
        <v>42</v>
      </c>
      <c r="B6" s="83"/>
      <c r="C6" s="82" t="s">
        <v>43</v>
      </c>
      <c r="D6" s="84"/>
      <c r="E6" s="84"/>
      <c r="F6" s="84"/>
      <c r="G6" s="84"/>
      <c r="H6" s="84"/>
      <c r="I6" s="84"/>
      <c r="J6" s="83"/>
      <c r="K6" s="85" t="s">
        <v>44</v>
      </c>
      <c r="L6" s="55"/>
      <c r="M6" s="55"/>
      <c r="N6" s="55"/>
      <c r="O6" s="55"/>
      <c r="P6" s="55"/>
      <c r="Q6" s="56"/>
      <c r="R6" s="86" t="s">
        <v>45</v>
      </c>
    </row>
    <row r="7" ht="12.75" customHeight="1">
      <c r="A7" s="87" t="s">
        <v>46</v>
      </c>
      <c r="B7" s="88"/>
      <c r="C7" s="89" t="s">
        <v>47</v>
      </c>
      <c r="D7" s="69"/>
      <c r="E7" s="69"/>
      <c r="F7" s="69"/>
      <c r="G7" s="69"/>
      <c r="H7" s="69"/>
      <c r="I7" s="69"/>
      <c r="J7" s="90"/>
      <c r="K7" s="91" t="s">
        <v>48</v>
      </c>
      <c r="L7" s="92"/>
      <c r="M7" s="92"/>
      <c r="N7" s="92"/>
      <c r="O7" s="92"/>
      <c r="P7" s="92"/>
      <c r="Q7" s="92"/>
      <c r="R7" s="93"/>
    </row>
    <row r="8" ht="12.75" customHeight="1">
      <c r="A8" s="94"/>
      <c r="B8" s="90"/>
      <c r="C8" s="95"/>
      <c r="D8" s="79"/>
      <c r="E8" s="79"/>
      <c r="F8" s="79"/>
      <c r="G8" s="79"/>
      <c r="H8" s="79"/>
      <c r="I8" s="79"/>
      <c r="J8" s="96"/>
      <c r="K8" s="97" t="s">
        <v>50</v>
      </c>
      <c r="L8" s="98" t="s">
        <v>51</v>
      </c>
      <c r="M8" s="98" t="s">
        <v>52</v>
      </c>
      <c r="N8" s="99" t="s">
        <v>53</v>
      </c>
      <c r="O8" s="100" t="s">
        <v>54</v>
      </c>
      <c r="P8" s="101"/>
      <c r="Q8" s="70"/>
      <c r="R8" s="102" t="s">
        <v>512</v>
      </c>
    </row>
    <row r="9" ht="12.75" customHeight="1">
      <c r="A9" s="103" t="s">
        <v>513</v>
      </c>
      <c r="B9" s="96"/>
      <c r="J9" s="88"/>
      <c r="K9" s="104" t="s">
        <v>258</v>
      </c>
      <c r="L9" s="105">
        <v>15.0</v>
      </c>
      <c r="M9" s="105"/>
      <c r="N9" s="113"/>
      <c r="O9" s="108" t="s">
        <v>58</v>
      </c>
      <c r="P9" s="109">
        <v>-5.0</v>
      </c>
      <c r="Q9" s="66"/>
      <c r="R9" s="110"/>
    </row>
    <row r="10" ht="12.75" customHeight="1">
      <c r="A10" s="111"/>
      <c r="B10" s="88"/>
      <c r="J10" s="88"/>
      <c r="K10" s="104" t="s">
        <v>514</v>
      </c>
      <c r="L10" s="112">
        <v>10.0</v>
      </c>
      <c r="M10" s="112"/>
      <c r="N10" s="113"/>
      <c r="O10" s="108" t="s">
        <v>59</v>
      </c>
      <c r="P10" s="109" t="s">
        <v>60</v>
      </c>
      <c r="Q10" s="66"/>
      <c r="R10" s="110"/>
    </row>
    <row r="11">
      <c r="A11" s="111"/>
      <c r="B11" s="88"/>
      <c r="J11" s="88"/>
      <c r="K11" s="104" t="s">
        <v>478</v>
      </c>
      <c r="L11" s="112" t="s">
        <v>515</v>
      </c>
      <c r="M11" s="112"/>
      <c r="N11" s="114"/>
      <c r="O11" s="115" t="s">
        <v>61</v>
      </c>
      <c r="P11" s="116" t="s">
        <v>92</v>
      </c>
      <c r="Q11" s="66"/>
      <c r="R11" s="110"/>
    </row>
    <row r="12">
      <c r="A12" s="111"/>
      <c r="B12" s="88"/>
      <c r="J12" s="88"/>
      <c r="K12" s="104"/>
      <c r="L12" s="112"/>
      <c r="M12" s="112"/>
      <c r="N12" s="113"/>
      <c r="O12" s="108" t="s">
        <v>63</v>
      </c>
      <c r="P12" s="116" t="s">
        <v>92</v>
      </c>
      <c r="Q12" s="66"/>
      <c r="R12" s="110"/>
    </row>
    <row r="13">
      <c r="A13" s="111"/>
      <c r="B13" s="88"/>
      <c r="C13" s="69"/>
      <c r="D13" s="69"/>
      <c r="E13" s="69"/>
      <c r="F13" s="69"/>
      <c r="G13" s="69"/>
      <c r="H13" s="69"/>
      <c r="I13" s="69"/>
      <c r="J13" s="90"/>
      <c r="K13" s="117"/>
      <c r="L13" s="118"/>
      <c r="M13" s="118"/>
      <c r="N13" s="119"/>
      <c r="O13" s="120" t="s">
        <v>64</v>
      </c>
      <c r="P13" s="121" t="s">
        <v>65</v>
      </c>
      <c r="Q13" s="80"/>
      <c r="R13" s="81"/>
    </row>
    <row r="14" ht="12.75" customHeight="1">
      <c r="A14" s="122" t="s">
        <v>66</v>
      </c>
      <c r="B14" s="123"/>
      <c r="C14" s="124" t="s">
        <v>67</v>
      </c>
      <c r="D14" s="47"/>
      <c r="E14" s="123"/>
      <c r="F14" s="124" t="s">
        <v>68</v>
      </c>
      <c r="G14" s="47"/>
      <c r="H14" s="123"/>
      <c r="I14" s="124" t="s">
        <v>69</v>
      </c>
      <c r="J14" s="123"/>
      <c r="K14" s="91" t="s">
        <v>70</v>
      </c>
      <c r="L14" s="92"/>
      <c r="M14" s="92"/>
      <c r="N14" s="92"/>
      <c r="O14" s="92"/>
      <c r="P14" s="92"/>
      <c r="Q14" s="92"/>
      <c r="R14" s="93"/>
    </row>
    <row r="15" ht="12.75" customHeight="1">
      <c r="A15" s="125" t="s">
        <v>71</v>
      </c>
      <c r="B15" s="126"/>
      <c r="C15" s="433" t="s">
        <v>516</v>
      </c>
      <c r="D15" s="74"/>
      <c r="E15" s="126"/>
      <c r="F15" s="129" t="s">
        <v>37</v>
      </c>
      <c r="G15" s="130" t="s">
        <v>73</v>
      </c>
      <c r="H15" s="131" t="s">
        <v>74</v>
      </c>
      <c r="I15" s="132" t="s">
        <v>75</v>
      </c>
      <c r="J15" s="144">
        <v>400.0</v>
      </c>
      <c r="K15" s="97" t="s">
        <v>76</v>
      </c>
      <c r="L15" s="98" t="s">
        <v>51</v>
      </c>
      <c r="M15" s="98" t="s">
        <v>52</v>
      </c>
      <c r="N15" s="99" t="s">
        <v>53</v>
      </c>
      <c r="O15" s="134" t="s">
        <v>517</v>
      </c>
      <c r="P15" s="101">
        <v>90.0</v>
      </c>
      <c r="Q15" s="70"/>
      <c r="R15" s="102" t="s">
        <v>518</v>
      </c>
    </row>
    <row r="16" ht="12.75" customHeight="1">
      <c r="A16" s="135" t="s">
        <v>79</v>
      </c>
      <c r="B16" s="136" t="b">
        <v>0</v>
      </c>
      <c r="C16" s="137"/>
      <c r="D16" s="138" t="s">
        <v>80</v>
      </c>
      <c r="E16" s="138" t="s">
        <v>81</v>
      </c>
      <c r="F16" s="139"/>
      <c r="G16" s="112"/>
      <c r="H16" s="140"/>
      <c r="I16" s="141"/>
      <c r="J16" s="142"/>
      <c r="K16" s="104" t="s">
        <v>519</v>
      </c>
      <c r="L16" s="105">
        <v>22.0</v>
      </c>
      <c r="M16" s="105"/>
      <c r="N16" s="113"/>
      <c r="O16" s="108" t="s">
        <v>83</v>
      </c>
      <c r="P16" s="109">
        <v>124.0</v>
      </c>
      <c r="Q16" s="66"/>
      <c r="R16" s="110"/>
    </row>
    <row r="17" ht="12.75" customHeight="1">
      <c r="A17" s="135" t="s">
        <v>84</v>
      </c>
      <c r="B17" s="136" t="b">
        <v>0</v>
      </c>
      <c r="C17" s="139" t="s">
        <v>85</v>
      </c>
      <c r="D17" s="112">
        <v>80.0</v>
      </c>
      <c r="E17" s="140">
        <v>98.0</v>
      </c>
      <c r="F17" s="139"/>
      <c r="G17" s="112"/>
      <c r="H17" s="140"/>
      <c r="I17" s="132" t="s">
        <v>86</v>
      </c>
      <c r="J17" s="144"/>
      <c r="K17" s="104" t="s">
        <v>88</v>
      </c>
      <c r="L17" s="105">
        <v>6.0</v>
      </c>
      <c r="M17" s="112"/>
      <c r="N17" s="113"/>
      <c r="O17" s="108" t="s">
        <v>89</v>
      </c>
      <c r="P17" s="109">
        <v>4.0</v>
      </c>
      <c r="Q17" s="66"/>
      <c r="R17" s="110"/>
    </row>
    <row r="18" ht="12.75" customHeight="1">
      <c r="A18" s="146" t="s">
        <v>90</v>
      </c>
      <c r="B18" s="147" t="b">
        <v>1</v>
      </c>
      <c r="C18" s="139" t="s">
        <v>83</v>
      </c>
      <c r="D18" s="112">
        <v>131.0</v>
      </c>
      <c r="E18" s="140">
        <v>142.0</v>
      </c>
      <c r="F18" s="139"/>
      <c r="G18" s="112"/>
      <c r="H18" s="140"/>
      <c r="I18" s="141"/>
      <c r="J18" s="142"/>
      <c r="K18" s="104"/>
      <c r="L18" s="105"/>
      <c r="M18" s="112"/>
      <c r="N18" s="148"/>
      <c r="O18" s="149" t="s">
        <v>91</v>
      </c>
      <c r="P18" s="116" t="s">
        <v>92</v>
      </c>
      <c r="Q18" s="66"/>
      <c r="R18" s="110"/>
    </row>
    <row r="19" ht="12.75" customHeight="1">
      <c r="A19" s="122" t="s">
        <v>93</v>
      </c>
      <c r="B19" s="123"/>
      <c r="C19" s="139" t="s">
        <v>94</v>
      </c>
      <c r="D19" s="112">
        <v>28.0</v>
      </c>
      <c r="E19" s="140">
        <v>28.0</v>
      </c>
      <c r="F19" s="139"/>
      <c r="G19" s="112"/>
      <c r="H19" s="140"/>
      <c r="I19" s="132" t="s">
        <v>95</v>
      </c>
      <c r="J19" s="150"/>
      <c r="K19" s="104"/>
      <c r="L19" s="105"/>
      <c r="M19" s="112"/>
      <c r="N19" s="148"/>
      <c r="O19" s="149" t="s">
        <v>96</v>
      </c>
      <c r="P19" s="116" t="s">
        <v>92</v>
      </c>
      <c r="Q19" s="66"/>
      <c r="R19" s="110"/>
    </row>
    <row r="20" ht="12.75" customHeight="1">
      <c r="A20" s="135" t="s">
        <v>97</v>
      </c>
      <c r="B20" s="136" t="b">
        <v>0</v>
      </c>
      <c r="C20" s="139" t="s">
        <v>98</v>
      </c>
      <c r="D20" s="427">
        <v>35.0</v>
      </c>
      <c r="E20" s="140">
        <v>35.5</v>
      </c>
      <c r="F20" s="152" t="s">
        <v>99</v>
      </c>
      <c r="G20" s="74"/>
      <c r="H20" s="126"/>
      <c r="I20" s="141"/>
      <c r="J20" s="142"/>
      <c r="K20" s="117"/>
      <c r="L20" s="153"/>
      <c r="M20" s="118"/>
      <c r="N20" s="119"/>
      <c r="O20" s="120" t="s">
        <v>100</v>
      </c>
      <c r="P20" s="121" t="s">
        <v>92</v>
      </c>
      <c r="Q20" s="80"/>
      <c r="R20" s="81"/>
    </row>
    <row r="21" ht="12.75" customHeight="1">
      <c r="A21" s="135" t="s">
        <v>101</v>
      </c>
      <c r="B21" s="136" t="b">
        <v>0</v>
      </c>
      <c r="C21" s="139" t="s">
        <v>102</v>
      </c>
      <c r="D21" s="112">
        <v>91.0</v>
      </c>
      <c r="E21" s="140">
        <v>100.0</v>
      </c>
      <c r="F21" s="154"/>
      <c r="G21" s="66"/>
      <c r="H21" s="140"/>
      <c r="I21" s="152" t="s">
        <v>104</v>
      </c>
      <c r="J21" s="126"/>
      <c r="K21" s="91" t="s">
        <v>105</v>
      </c>
      <c r="L21" s="92"/>
      <c r="M21" s="92"/>
      <c r="N21" s="92"/>
      <c r="O21" s="92"/>
      <c r="P21" s="92"/>
      <c r="Q21" s="92"/>
      <c r="R21" s="93"/>
    </row>
    <row r="22" ht="12.75" customHeight="1">
      <c r="A22" s="146" t="s">
        <v>106</v>
      </c>
      <c r="B22" s="147" t="b">
        <v>1</v>
      </c>
      <c r="C22" s="139" t="s">
        <v>107</v>
      </c>
      <c r="D22" s="112">
        <v>52.0</v>
      </c>
      <c r="E22" s="140">
        <v>133.0</v>
      </c>
      <c r="F22" s="154"/>
      <c r="G22" s="66"/>
      <c r="H22" s="140"/>
      <c r="I22" s="218"/>
      <c r="J22" s="96"/>
      <c r="K22" s="301" t="s">
        <v>108</v>
      </c>
      <c r="L22" s="350" t="s">
        <v>230</v>
      </c>
      <c r="M22" s="303" t="s">
        <v>110</v>
      </c>
      <c r="N22" s="304" t="s">
        <v>266</v>
      </c>
      <c r="O22" s="160" t="s">
        <v>111</v>
      </c>
      <c r="P22" s="157">
        <v>23.0</v>
      </c>
      <c r="Q22" s="161" t="s">
        <v>112</v>
      </c>
      <c r="R22" s="102" t="s">
        <v>520</v>
      </c>
    </row>
    <row r="23" ht="12.75" customHeight="1">
      <c r="A23" s="122" t="s">
        <v>114</v>
      </c>
      <c r="B23" s="123"/>
      <c r="C23" s="139"/>
      <c r="D23" s="428"/>
      <c r="E23" s="429"/>
      <c r="F23" s="164"/>
      <c r="G23" s="165"/>
      <c r="H23" s="163"/>
      <c r="I23" s="166"/>
      <c r="J23" s="167"/>
      <c r="K23" s="168" t="s">
        <v>115</v>
      </c>
      <c r="L23" s="169"/>
      <c r="M23" s="170" t="s">
        <v>94</v>
      </c>
      <c r="N23" s="169">
        <v>28.0</v>
      </c>
      <c r="O23" s="170" t="s">
        <v>116</v>
      </c>
      <c r="P23" s="169"/>
      <c r="Q23" s="171"/>
      <c r="R23" s="110"/>
    </row>
    <row r="24" ht="12.75" customHeight="1">
      <c r="A24" s="103" t="s">
        <v>521</v>
      </c>
      <c r="B24" s="96"/>
      <c r="C24" s="122" t="s">
        <v>118</v>
      </c>
      <c r="D24" s="47"/>
      <c r="E24" s="123"/>
      <c r="F24" s="172" t="s">
        <v>119</v>
      </c>
      <c r="G24" s="47"/>
      <c r="H24" s="47"/>
      <c r="I24" s="47"/>
      <c r="J24" s="123"/>
      <c r="K24" s="168" t="s">
        <v>120</v>
      </c>
      <c r="L24" s="169"/>
      <c r="M24" s="170" t="s">
        <v>121</v>
      </c>
      <c r="N24" s="169">
        <v>70.0</v>
      </c>
      <c r="O24" s="170" t="s">
        <v>122</v>
      </c>
      <c r="P24" s="169">
        <v>47.0</v>
      </c>
      <c r="Q24" s="173" t="s">
        <v>123</v>
      </c>
      <c r="R24" s="110"/>
    </row>
    <row r="25" ht="12.75" customHeight="1">
      <c r="A25" s="111"/>
      <c r="B25" s="88"/>
      <c r="C25" s="174"/>
      <c r="D25" s="175" t="s">
        <v>124</v>
      </c>
      <c r="E25" s="176" t="s">
        <v>125</v>
      </c>
      <c r="F25" s="177" t="s">
        <v>37</v>
      </c>
      <c r="G25" s="178" t="s">
        <v>126</v>
      </c>
      <c r="H25" s="179" t="s">
        <v>127</v>
      </c>
      <c r="I25" s="74"/>
      <c r="J25" s="126"/>
      <c r="K25" s="168" t="s">
        <v>128</v>
      </c>
      <c r="L25" s="169"/>
      <c r="M25" s="170" t="s">
        <v>129</v>
      </c>
      <c r="N25" s="169">
        <v>6.0</v>
      </c>
      <c r="O25" s="170" t="s">
        <v>130</v>
      </c>
      <c r="P25" s="169">
        <v>37.0</v>
      </c>
      <c r="Q25" s="171"/>
      <c r="R25" s="110"/>
    </row>
    <row r="26" ht="12.75" customHeight="1">
      <c r="A26" s="111"/>
      <c r="B26" s="88"/>
      <c r="C26" s="135" t="s">
        <v>132</v>
      </c>
      <c r="D26" s="136">
        <v>5.6</v>
      </c>
      <c r="E26" s="136">
        <v>9.0</v>
      </c>
      <c r="F26" s="305">
        <v>46008.0</v>
      </c>
      <c r="G26" s="182" t="s">
        <v>328</v>
      </c>
      <c r="H26" s="187"/>
      <c r="I26" s="74"/>
      <c r="J26" s="126"/>
      <c r="K26" s="168" t="s">
        <v>135</v>
      </c>
      <c r="L26" s="184"/>
      <c r="M26" s="170" t="s">
        <v>136</v>
      </c>
      <c r="N26" s="169">
        <v>330.0</v>
      </c>
      <c r="O26" s="170" t="s">
        <v>137</v>
      </c>
      <c r="P26" s="169"/>
      <c r="Q26" s="173" t="s">
        <v>138</v>
      </c>
      <c r="R26" s="110"/>
    </row>
    <row r="27" ht="17.25" customHeight="1">
      <c r="A27" s="111"/>
      <c r="B27" s="88"/>
      <c r="C27" s="135" t="s">
        <v>139</v>
      </c>
      <c r="D27" s="136">
        <v>19.0</v>
      </c>
      <c r="E27" s="136">
        <v>32.0</v>
      </c>
      <c r="F27" s="305">
        <v>46008.0</v>
      </c>
      <c r="G27" s="182" t="s">
        <v>325</v>
      </c>
      <c r="H27" s="187"/>
      <c r="I27" s="74"/>
      <c r="J27" s="126"/>
      <c r="K27" s="188" t="s">
        <v>140</v>
      </c>
      <c r="L27" s="189">
        <v>40.0</v>
      </c>
      <c r="M27" s="190" t="s">
        <v>141</v>
      </c>
      <c r="N27" s="189"/>
      <c r="O27" s="190" t="s">
        <v>142</v>
      </c>
      <c r="P27" s="189">
        <v>30.0</v>
      </c>
      <c r="Q27" s="180" t="s">
        <v>522</v>
      </c>
      <c r="R27" s="81"/>
    </row>
    <row r="28" ht="12.75" customHeight="1">
      <c r="A28" s="166"/>
      <c r="B28" s="167"/>
      <c r="C28" s="135" t="s">
        <v>143</v>
      </c>
      <c r="D28" s="191">
        <v>16710.0</v>
      </c>
      <c r="E28" s="191">
        <v>7190.0</v>
      </c>
      <c r="F28" s="305">
        <v>46008.0</v>
      </c>
      <c r="G28" s="182" t="s">
        <v>326</v>
      </c>
      <c r="H28" s="187"/>
      <c r="I28" s="74"/>
      <c r="J28" s="126"/>
      <c r="K28" s="91" t="s">
        <v>144</v>
      </c>
      <c r="L28" s="92"/>
      <c r="M28" s="92"/>
      <c r="N28" s="92"/>
      <c r="O28" s="92"/>
      <c r="P28" s="92"/>
      <c r="Q28" s="92"/>
      <c r="R28" s="93"/>
    </row>
    <row r="29" ht="12.75" customHeight="1">
      <c r="A29" s="124" t="s">
        <v>145</v>
      </c>
      <c r="B29" s="123"/>
      <c r="C29" s="135" t="s">
        <v>146</v>
      </c>
      <c r="D29" s="191"/>
      <c r="E29" s="191">
        <v>91.0</v>
      </c>
      <c r="F29" s="305">
        <v>46008.0</v>
      </c>
      <c r="G29" s="182" t="s">
        <v>523</v>
      </c>
      <c r="H29" s="187"/>
      <c r="I29" s="74"/>
      <c r="J29" s="126"/>
      <c r="K29" s="192" t="s">
        <v>5</v>
      </c>
      <c r="L29" s="193" t="s">
        <v>276</v>
      </c>
      <c r="M29" s="70"/>
      <c r="N29" s="194" t="s">
        <v>148</v>
      </c>
      <c r="O29" s="195"/>
      <c r="P29" s="196" t="s">
        <v>149</v>
      </c>
      <c r="Q29" s="430">
        <v>60.0</v>
      </c>
      <c r="R29" s="102"/>
    </row>
    <row r="30" ht="12.75" customHeight="1">
      <c r="A30" s="139" t="s">
        <v>151</v>
      </c>
      <c r="B30" s="140" t="s">
        <v>524</v>
      </c>
      <c r="C30" s="135" t="s">
        <v>153</v>
      </c>
      <c r="D30" s="136">
        <v>69.0</v>
      </c>
      <c r="E30" s="136">
        <v>67.0</v>
      </c>
      <c r="F30" s="185"/>
      <c r="G30" s="186"/>
      <c r="H30" s="187"/>
      <c r="I30" s="74"/>
      <c r="J30" s="126"/>
      <c r="K30" s="199" t="s">
        <v>154</v>
      </c>
      <c r="L30" s="113" t="s">
        <v>525</v>
      </c>
      <c r="M30" s="173" t="s">
        <v>156</v>
      </c>
      <c r="N30" s="66"/>
      <c r="O30" s="169" t="s">
        <v>525</v>
      </c>
      <c r="P30" s="200" t="s">
        <v>158</v>
      </c>
      <c r="Q30" s="201" t="s">
        <v>159</v>
      </c>
      <c r="R30" s="110"/>
    </row>
    <row r="31" ht="12.75" customHeight="1">
      <c r="A31" s="139" t="s">
        <v>160</v>
      </c>
      <c r="B31" s="140" t="s">
        <v>526</v>
      </c>
      <c r="C31" s="135" t="s">
        <v>162</v>
      </c>
      <c r="D31" s="136">
        <v>120.0</v>
      </c>
      <c r="E31" s="136">
        <v>114.0</v>
      </c>
      <c r="F31" s="139"/>
      <c r="G31" s="112"/>
      <c r="H31" s="187"/>
      <c r="I31" s="74"/>
      <c r="J31" s="126"/>
      <c r="K31" s="168" t="s">
        <v>163</v>
      </c>
      <c r="L31" s="202" t="s">
        <v>92</v>
      </c>
      <c r="M31" s="66"/>
      <c r="N31" s="203" t="s">
        <v>527</v>
      </c>
      <c r="O31" s="79"/>
      <c r="P31" s="79"/>
      <c r="Q31" s="80"/>
      <c r="R31" s="110"/>
    </row>
    <row r="32" ht="12.75" customHeight="1">
      <c r="A32" s="139" t="s">
        <v>165</v>
      </c>
      <c r="B32" s="140" t="s">
        <v>528</v>
      </c>
      <c r="C32" s="135" t="s">
        <v>167</v>
      </c>
      <c r="D32" s="136">
        <v>2.2</v>
      </c>
      <c r="E32" s="136">
        <v>2.2</v>
      </c>
      <c r="F32" s="139"/>
      <c r="G32" s="112"/>
      <c r="H32" s="187"/>
      <c r="I32" s="74"/>
      <c r="J32" s="126"/>
      <c r="K32" s="204" t="s">
        <v>168</v>
      </c>
      <c r="L32" s="116" t="s">
        <v>92</v>
      </c>
      <c r="M32" s="66"/>
      <c r="N32" s="205"/>
      <c r="Q32" s="206"/>
      <c r="R32" s="110"/>
    </row>
    <row r="33" ht="12.75" customHeight="1">
      <c r="A33" s="135" t="s">
        <v>169</v>
      </c>
      <c r="B33" s="136">
        <v>90.0</v>
      </c>
      <c r="C33" s="135" t="s">
        <v>170</v>
      </c>
      <c r="D33" s="136">
        <v>150.0</v>
      </c>
      <c r="E33" s="136">
        <v>151.0</v>
      </c>
      <c r="F33" s="139"/>
      <c r="G33" s="112"/>
      <c r="H33" s="187"/>
      <c r="I33" s="74"/>
      <c r="J33" s="126"/>
      <c r="K33" s="204" t="s">
        <v>171</v>
      </c>
      <c r="L33" s="116" t="s">
        <v>92</v>
      </c>
      <c r="M33" s="66"/>
      <c r="N33" s="205"/>
      <c r="Q33" s="206"/>
      <c r="R33" s="110"/>
    </row>
    <row r="34" ht="12.75" customHeight="1">
      <c r="A34" s="174" t="s">
        <v>172</v>
      </c>
      <c r="B34" s="136"/>
      <c r="C34" s="135" t="s">
        <v>173</v>
      </c>
      <c r="D34" s="136">
        <v>6.6</v>
      </c>
      <c r="E34" s="136"/>
      <c r="F34" s="207"/>
      <c r="G34" s="162"/>
      <c r="H34" s="208"/>
      <c r="I34" s="209"/>
      <c r="J34" s="210"/>
      <c r="K34" s="211" t="s">
        <v>174</v>
      </c>
      <c r="L34" s="121" t="s">
        <v>65</v>
      </c>
      <c r="M34" s="80"/>
      <c r="N34" s="68"/>
      <c r="O34" s="69"/>
      <c r="P34" s="69"/>
      <c r="Q34" s="70"/>
      <c r="R34" s="81"/>
    </row>
    <row r="35" ht="12.75" customHeight="1">
      <c r="A35" s="212" t="s">
        <v>175</v>
      </c>
      <c r="B35" s="147"/>
      <c r="C35" s="135" t="s">
        <v>176</v>
      </c>
      <c r="D35" s="136">
        <v>7.8</v>
      </c>
      <c r="E35" s="136"/>
      <c r="F35" s="124" t="s">
        <v>177</v>
      </c>
      <c r="G35" s="47"/>
      <c r="H35" s="47"/>
      <c r="I35" s="47"/>
      <c r="J35" s="123"/>
      <c r="K35" s="91" t="s">
        <v>178</v>
      </c>
      <c r="L35" s="92"/>
      <c r="M35" s="92"/>
      <c r="N35" s="92"/>
      <c r="O35" s="92"/>
      <c r="P35" s="92"/>
      <c r="Q35" s="92"/>
      <c r="R35" s="93"/>
    </row>
    <row r="36" ht="18.75" customHeight="1">
      <c r="A36" s="213" t="s">
        <v>179</v>
      </c>
      <c r="B36" s="123"/>
      <c r="C36" s="135" t="s">
        <v>180</v>
      </c>
      <c r="D36" s="136">
        <v>1.38</v>
      </c>
      <c r="E36" s="136">
        <v>1.38</v>
      </c>
      <c r="F36" s="129" t="s">
        <v>37</v>
      </c>
      <c r="G36" s="130" t="s">
        <v>126</v>
      </c>
      <c r="H36" s="214" t="s">
        <v>127</v>
      </c>
      <c r="I36" s="74"/>
      <c r="J36" s="126"/>
      <c r="K36" s="215" t="s">
        <v>181</v>
      </c>
      <c r="L36" s="216" t="s">
        <v>65</v>
      </c>
      <c r="M36" s="70"/>
      <c r="N36" s="217" t="s">
        <v>182</v>
      </c>
      <c r="Q36" s="206"/>
      <c r="R36" s="102" t="s">
        <v>529</v>
      </c>
    </row>
    <row r="37" ht="12.75" customHeight="1">
      <c r="A37" s="218" t="s">
        <v>530</v>
      </c>
      <c r="B37" s="96"/>
      <c r="C37" s="135" t="s">
        <v>185</v>
      </c>
      <c r="D37" s="219"/>
      <c r="E37" s="220"/>
      <c r="F37" s="222">
        <v>46007.0</v>
      </c>
      <c r="G37" s="112" t="s">
        <v>531</v>
      </c>
      <c r="H37" s="308" t="s">
        <v>532</v>
      </c>
      <c r="I37" s="74"/>
      <c r="J37" s="126"/>
      <c r="K37" s="204" t="s">
        <v>188</v>
      </c>
      <c r="L37" s="116" t="s">
        <v>65</v>
      </c>
      <c r="M37" s="66"/>
      <c r="N37" s="205"/>
      <c r="Q37" s="206"/>
      <c r="R37" s="110"/>
    </row>
    <row r="38" ht="12.75" customHeight="1">
      <c r="A38" s="111"/>
      <c r="B38" s="88"/>
      <c r="C38" s="135" t="s">
        <v>189</v>
      </c>
      <c r="D38" s="219"/>
      <c r="E38" s="220"/>
      <c r="F38" s="222">
        <v>46008.0</v>
      </c>
      <c r="G38" s="112" t="s">
        <v>533</v>
      </c>
      <c r="H38" s="116" t="s">
        <v>534</v>
      </c>
      <c r="I38" s="74"/>
      <c r="J38" s="126"/>
      <c r="K38" s="204" t="s">
        <v>190</v>
      </c>
      <c r="L38" s="116"/>
      <c r="M38" s="66"/>
      <c r="N38" s="205"/>
      <c r="Q38" s="206"/>
      <c r="R38" s="110"/>
    </row>
    <row r="39" ht="12.75" customHeight="1">
      <c r="A39" s="111"/>
      <c r="B39" s="88"/>
      <c r="C39" s="135" t="s">
        <v>191</v>
      </c>
      <c r="D39" s="219"/>
      <c r="E39" s="220"/>
      <c r="F39" s="139"/>
      <c r="G39" s="112"/>
      <c r="H39" s="116"/>
      <c r="I39" s="74"/>
      <c r="J39" s="126"/>
      <c r="K39" s="204" t="s">
        <v>192</v>
      </c>
      <c r="L39" s="116" t="s">
        <v>92</v>
      </c>
      <c r="M39" s="66"/>
      <c r="N39" s="205"/>
      <c r="Q39" s="206"/>
      <c r="R39" s="110"/>
    </row>
    <row r="40" ht="12.75" customHeight="1">
      <c r="A40" s="111"/>
      <c r="B40" s="88"/>
      <c r="C40" s="135" t="s">
        <v>193</v>
      </c>
      <c r="D40" s="219"/>
      <c r="E40" s="220"/>
      <c r="F40" s="139"/>
      <c r="G40" s="112"/>
      <c r="H40" s="116"/>
      <c r="I40" s="74"/>
      <c r="J40" s="126"/>
      <c r="K40" s="211" t="s">
        <v>194</v>
      </c>
      <c r="L40" s="121"/>
      <c r="M40" s="80"/>
      <c r="N40" s="68"/>
      <c r="O40" s="69"/>
      <c r="P40" s="69"/>
      <c r="Q40" s="70"/>
      <c r="R40" s="81"/>
    </row>
    <row r="41" ht="12.75" customHeight="1">
      <c r="A41" s="111"/>
      <c r="B41" s="88"/>
      <c r="C41" s="135" t="s">
        <v>195</v>
      </c>
      <c r="D41" s="225"/>
      <c r="E41" s="220"/>
      <c r="F41" s="139"/>
      <c r="G41" s="112"/>
      <c r="H41" s="116"/>
      <c r="I41" s="74"/>
      <c r="J41" s="126"/>
      <c r="K41" s="91" t="s">
        <v>196</v>
      </c>
      <c r="L41" s="92"/>
      <c r="M41" s="92"/>
      <c r="N41" s="92"/>
      <c r="O41" s="92"/>
      <c r="P41" s="92"/>
      <c r="Q41" s="92"/>
      <c r="R41" s="93"/>
    </row>
    <row r="42" ht="12.75" customHeight="1">
      <c r="A42" s="111"/>
      <c r="B42" s="88"/>
      <c r="C42" s="310" t="s">
        <v>197</v>
      </c>
      <c r="D42" s="227"/>
      <c r="E42" s="228"/>
      <c r="F42" s="207"/>
      <c r="G42" s="162"/>
      <c r="H42" s="229"/>
      <c r="I42" s="209"/>
      <c r="J42" s="210"/>
      <c r="K42" s="230" t="s">
        <v>198</v>
      </c>
      <c r="L42" s="70"/>
      <c r="M42" s="231" t="s">
        <v>92</v>
      </c>
      <c r="N42" s="70"/>
      <c r="O42" s="232" t="s">
        <v>199</v>
      </c>
      <c r="P42" s="232" t="s">
        <v>200</v>
      </c>
      <c r="Q42" s="233" t="s">
        <v>53</v>
      </c>
      <c r="R42" s="102" t="s">
        <v>535</v>
      </c>
    </row>
    <row r="43" ht="19.5" customHeight="1">
      <c r="A43" s="111"/>
      <c r="B43" s="88"/>
      <c r="C43" s="234" t="s">
        <v>202</v>
      </c>
      <c r="D43" s="235"/>
      <c r="E43" s="236"/>
      <c r="F43" s="237" t="s">
        <v>203</v>
      </c>
      <c r="G43" s="47"/>
      <c r="H43" s="47"/>
      <c r="I43" s="47"/>
      <c r="J43" s="123"/>
      <c r="K43" s="238" t="s">
        <v>204</v>
      </c>
      <c r="L43" s="66"/>
      <c r="M43" s="239" t="s">
        <v>92</v>
      </c>
      <c r="N43" s="66"/>
      <c r="O43" s="240" t="s">
        <v>295</v>
      </c>
      <c r="P43" s="241">
        <v>46008.0</v>
      </c>
      <c r="Q43" s="242"/>
      <c r="R43" s="110"/>
    </row>
    <row r="44" ht="12.75" customHeight="1">
      <c r="A44" s="111"/>
      <c r="B44" s="88"/>
      <c r="C44" s="243" t="s">
        <v>296</v>
      </c>
      <c r="D44" s="244">
        <v>0.825</v>
      </c>
      <c r="E44" s="245">
        <v>0.07569444444444444</v>
      </c>
      <c r="F44" s="246" t="s">
        <v>126</v>
      </c>
      <c r="G44" s="247" t="s">
        <v>206</v>
      </c>
      <c r="H44" s="178" t="s">
        <v>207</v>
      </c>
      <c r="I44" s="178" t="s">
        <v>208</v>
      </c>
      <c r="J44" s="248" t="s">
        <v>209</v>
      </c>
      <c r="K44" s="238" t="s">
        <v>210</v>
      </c>
      <c r="L44" s="66"/>
      <c r="M44" s="239" t="s">
        <v>92</v>
      </c>
      <c r="N44" s="66"/>
      <c r="O44" s="249" t="s">
        <v>536</v>
      </c>
      <c r="P44" s="250">
        <v>46008.0</v>
      </c>
      <c r="Q44" s="187"/>
      <c r="R44" s="110"/>
    </row>
    <row r="45" ht="12.75" customHeight="1">
      <c r="A45" s="111"/>
      <c r="B45" s="88"/>
      <c r="C45" s="243" t="s">
        <v>212</v>
      </c>
      <c r="D45" s="252">
        <v>7.15</v>
      </c>
      <c r="E45" s="253">
        <v>7.07</v>
      </c>
      <c r="F45" s="254" t="s">
        <v>537</v>
      </c>
      <c r="G45" s="112"/>
      <c r="H45" s="112"/>
      <c r="I45" s="296">
        <v>46003.0</v>
      </c>
      <c r="J45" s="140"/>
      <c r="K45" s="238" t="s">
        <v>215</v>
      </c>
      <c r="L45" s="66"/>
      <c r="M45" s="239" t="s">
        <v>92</v>
      </c>
      <c r="N45" s="66"/>
      <c r="O45" s="240" t="s">
        <v>538</v>
      </c>
      <c r="P45" s="256">
        <v>46008.0</v>
      </c>
      <c r="Q45" s="258"/>
      <c r="R45" s="110"/>
    </row>
    <row r="46" ht="12.75" customHeight="1">
      <c r="A46" s="111"/>
      <c r="B46" s="88"/>
      <c r="C46" s="243" t="s">
        <v>217</v>
      </c>
      <c r="D46" s="252">
        <v>71.0</v>
      </c>
      <c r="E46" s="253">
        <v>78.0</v>
      </c>
      <c r="F46" s="254" t="s">
        <v>539</v>
      </c>
      <c r="G46" s="112" t="s">
        <v>300</v>
      </c>
      <c r="H46" s="112"/>
      <c r="I46" s="296">
        <v>46008.0</v>
      </c>
      <c r="J46" s="140"/>
      <c r="K46" s="238" t="s">
        <v>220</v>
      </c>
      <c r="L46" s="66"/>
      <c r="M46" s="239" t="s">
        <v>65</v>
      </c>
      <c r="N46" s="66"/>
      <c r="O46" s="240" t="s">
        <v>540</v>
      </c>
      <c r="P46" s="256">
        <v>46008.0</v>
      </c>
      <c r="Q46" s="257">
        <v>46010.0</v>
      </c>
      <c r="R46" s="110"/>
    </row>
    <row r="47" ht="12.75" customHeight="1">
      <c r="A47" s="111"/>
      <c r="B47" s="88"/>
      <c r="C47" s="243" t="s">
        <v>222</v>
      </c>
      <c r="D47" s="252">
        <v>69.0</v>
      </c>
      <c r="E47" s="253">
        <v>69.0</v>
      </c>
      <c r="F47" s="254" t="s">
        <v>230</v>
      </c>
      <c r="G47" s="259"/>
      <c r="H47" s="259"/>
      <c r="I47" s="259">
        <v>46003.0</v>
      </c>
      <c r="J47" s="140"/>
      <c r="K47" s="260" t="s">
        <v>225</v>
      </c>
      <c r="L47" s="80"/>
      <c r="M47" s="121"/>
      <c r="N47" s="80"/>
      <c r="O47" s="261"/>
      <c r="P47" s="261"/>
      <c r="Q47" s="262"/>
      <c r="R47" s="81"/>
    </row>
    <row r="48" ht="12.75" customHeight="1">
      <c r="A48" s="111"/>
      <c r="B48" s="88"/>
      <c r="C48" s="243" t="s">
        <v>226</v>
      </c>
      <c r="D48" s="252">
        <v>24.0</v>
      </c>
      <c r="E48" s="253">
        <v>22.0</v>
      </c>
      <c r="F48" s="254" t="s">
        <v>460</v>
      </c>
      <c r="G48" s="112" t="s">
        <v>224</v>
      </c>
      <c r="H48" s="112"/>
      <c r="I48" s="296">
        <v>46008.0</v>
      </c>
      <c r="J48" s="263"/>
      <c r="K48" s="91" t="s">
        <v>228</v>
      </c>
      <c r="L48" s="92"/>
      <c r="M48" s="92"/>
      <c r="N48" s="92"/>
      <c r="O48" s="92"/>
      <c r="P48" s="92"/>
      <c r="Q48" s="92"/>
      <c r="R48" s="93"/>
    </row>
    <row r="49" ht="12.75" customHeight="1">
      <c r="A49" s="111"/>
      <c r="B49" s="88"/>
      <c r="C49" s="243" t="s">
        <v>229</v>
      </c>
      <c r="D49" s="252">
        <v>-4.0</v>
      </c>
      <c r="E49" s="253">
        <v>-8.2</v>
      </c>
      <c r="F49" s="254"/>
      <c r="G49" s="112"/>
      <c r="H49" s="112"/>
      <c r="I49" s="112"/>
      <c r="J49" s="140"/>
      <c r="K49" s="192" t="s">
        <v>232</v>
      </c>
      <c r="L49" s="193" t="s">
        <v>541</v>
      </c>
      <c r="M49" s="69"/>
      <c r="N49" s="70"/>
      <c r="O49" s="194" t="s">
        <v>234</v>
      </c>
      <c r="P49" s="265" t="s">
        <v>466</v>
      </c>
      <c r="Q49" s="70"/>
      <c r="R49" s="102" t="s">
        <v>542</v>
      </c>
    </row>
    <row r="50" ht="12.75" customHeight="1">
      <c r="A50" s="111"/>
      <c r="B50" s="88"/>
      <c r="C50" s="243" t="s">
        <v>237</v>
      </c>
      <c r="D50" s="252">
        <v>88.0</v>
      </c>
      <c r="E50" s="434">
        <v>0.84</v>
      </c>
      <c r="F50" s="254"/>
      <c r="G50" s="112"/>
      <c r="H50" s="112"/>
      <c r="I50" s="112"/>
      <c r="J50" s="140"/>
      <c r="K50" s="266" t="s">
        <v>238</v>
      </c>
      <c r="L50" s="267" t="s">
        <v>543</v>
      </c>
      <c r="M50" s="66"/>
      <c r="N50" s="268" t="s">
        <v>240</v>
      </c>
      <c r="O50" s="66"/>
      <c r="P50" s="269"/>
      <c r="Q50" s="66"/>
      <c r="R50" s="110"/>
    </row>
    <row r="51" ht="12.75" customHeight="1">
      <c r="A51" s="111"/>
      <c r="B51" s="88"/>
      <c r="C51" s="243" t="s">
        <v>241</v>
      </c>
      <c r="D51" s="252">
        <v>115.0</v>
      </c>
      <c r="E51" s="253">
        <v>98.0</v>
      </c>
      <c r="F51" s="270"/>
      <c r="G51" s="259"/>
      <c r="H51" s="259"/>
      <c r="I51" s="259"/>
      <c r="J51" s="140"/>
      <c r="K51" s="266" t="s">
        <v>242</v>
      </c>
      <c r="L51" s="267" t="s">
        <v>65</v>
      </c>
      <c r="M51" s="66"/>
      <c r="N51" s="271" t="s">
        <v>544</v>
      </c>
      <c r="O51" s="79"/>
      <c r="P51" s="79"/>
      <c r="Q51" s="80"/>
      <c r="R51" s="110"/>
    </row>
    <row r="52" ht="12.75" customHeight="1">
      <c r="A52" s="111"/>
      <c r="B52" s="88"/>
      <c r="C52" s="243"/>
      <c r="D52" s="252"/>
      <c r="E52" s="253"/>
      <c r="F52" s="254"/>
      <c r="G52" s="112"/>
      <c r="H52" s="112"/>
      <c r="I52" s="112"/>
      <c r="J52" s="263"/>
      <c r="K52" s="266" t="s">
        <v>244</v>
      </c>
      <c r="L52" s="267" t="s">
        <v>65</v>
      </c>
      <c r="M52" s="66"/>
      <c r="N52" s="205"/>
      <c r="Q52" s="206"/>
      <c r="R52" s="110"/>
    </row>
    <row r="53" ht="12.75" customHeight="1">
      <c r="A53" s="111"/>
      <c r="B53" s="88"/>
      <c r="C53" s="272" t="s">
        <v>245</v>
      </c>
      <c r="D53" s="273"/>
      <c r="E53" s="274"/>
      <c r="F53" s="254"/>
      <c r="G53" s="112"/>
      <c r="H53" s="112"/>
      <c r="I53" s="112"/>
      <c r="J53" s="263"/>
      <c r="K53" s="266" t="s">
        <v>246</v>
      </c>
      <c r="L53" s="267" t="s">
        <v>65</v>
      </c>
      <c r="M53" s="66"/>
      <c r="N53" s="205"/>
      <c r="Q53" s="206"/>
      <c r="R53" s="110"/>
    </row>
    <row r="54" ht="12.75" customHeight="1">
      <c r="A54" s="166"/>
      <c r="B54" s="167"/>
      <c r="C54" s="275"/>
      <c r="D54" s="276"/>
      <c r="E54" s="277"/>
      <c r="F54" s="278"/>
      <c r="G54" s="118"/>
      <c r="H54" s="118"/>
      <c r="I54" s="118"/>
      <c r="J54" s="279"/>
      <c r="K54" s="188" t="s">
        <v>247</v>
      </c>
      <c r="L54" s="180">
        <v>0.0</v>
      </c>
      <c r="M54" s="80"/>
      <c r="N54" s="280"/>
      <c r="O54" s="281"/>
      <c r="P54" s="281"/>
      <c r="Q54" s="282"/>
      <c r="R54" s="81"/>
    </row>
    <row r="55" ht="18.75" customHeight="1">
      <c r="A55" s="283" t="s">
        <v>248</v>
      </c>
      <c r="B55" s="315" t="s">
        <v>545</v>
      </c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285"/>
      <c r="Q55" s="285"/>
      <c r="R55" s="286"/>
    </row>
    <row r="56" ht="18.75" customHeight="1">
      <c r="A56" s="287"/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8"/>
      <c r="P56" s="288"/>
      <c r="Q56" s="288"/>
      <c r="R56" s="289"/>
    </row>
  </sheetData>
  <mergeCells count="126">
    <mergeCell ref="B4:Q4"/>
    <mergeCell ref="B5:Q5"/>
    <mergeCell ref="A6:B6"/>
    <mergeCell ref="C6:J6"/>
    <mergeCell ref="K6:Q6"/>
    <mergeCell ref="R8:R13"/>
    <mergeCell ref="P13:Q13"/>
    <mergeCell ref="K14:R14"/>
    <mergeCell ref="C8:J13"/>
    <mergeCell ref="C14:E14"/>
    <mergeCell ref="F14:H14"/>
    <mergeCell ref="I14:J14"/>
    <mergeCell ref="C15:E15"/>
    <mergeCell ref="I15:I16"/>
    <mergeCell ref="J15:J16"/>
    <mergeCell ref="I21:J21"/>
    <mergeCell ref="I22:J23"/>
    <mergeCell ref="I17:I18"/>
    <mergeCell ref="J17:J18"/>
    <mergeCell ref="I19:I20"/>
    <mergeCell ref="J19:J20"/>
    <mergeCell ref="F20:H20"/>
    <mergeCell ref="F21:G21"/>
    <mergeCell ref="F22:G22"/>
    <mergeCell ref="F23:G23"/>
    <mergeCell ref="A24:B28"/>
    <mergeCell ref="A29:B29"/>
    <mergeCell ref="A36:B36"/>
    <mergeCell ref="A37:B54"/>
    <mergeCell ref="C43:E43"/>
    <mergeCell ref="A55:A56"/>
    <mergeCell ref="A7:B8"/>
    <mergeCell ref="A9:B13"/>
    <mergeCell ref="A14:B14"/>
    <mergeCell ref="A15:B15"/>
    <mergeCell ref="A19:B19"/>
    <mergeCell ref="A23:B23"/>
    <mergeCell ref="C24:E24"/>
    <mergeCell ref="P19:Q19"/>
    <mergeCell ref="P20:Q20"/>
    <mergeCell ref="K21:R21"/>
    <mergeCell ref="F24:J24"/>
    <mergeCell ref="H25:J25"/>
    <mergeCell ref="H26:J26"/>
    <mergeCell ref="H27:J27"/>
    <mergeCell ref="H28:J28"/>
    <mergeCell ref="K28:R28"/>
    <mergeCell ref="H29:J29"/>
    <mergeCell ref="L29:M29"/>
    <mergeCell ref="H30:J30"/>
    <mergeCell ref="M30:N30"/>
    <mergeCell ref="H31:J31"/>
    <mergeCell ref="H34:J34"/>
    <mergeCell ref="F35:J35"/>
    <mergeCell ref="H36:J36"/>
    <mergeCell ref="L36:M36"/>
    <mergeCell ref="L31:M31"/>
    <mergeCell ref="H32:J32"/>
    <mergeCell ref="L32:M32"/>
    <mergeCell ref="H33:J33"/>
    <mergeCell ref="L33:M33"/>
    <mergeCell ref="L34:M34"/>
    <mergeCell ref="K35:R35"/>
    <mergeCell ref="D1:G1"/>
    <mergeCell ref="J1:J2"/>
    <mergeCell ref="K1:K2"/>
    <mergeCell ref="L1:L2"/>
    <mergeCell ref="M1:Q2"/>
    <mergeCell ref="H2:I2"/>
    <mergeCell ref="B3:Q3"/>
    <mergeCell ref="C7:J7"/>
    <mergeCell ref="K7:R7"/>
    <mergeCell ref="R4:R5"/>
    <mergeCell ref="P8:Q8"/>
    <mergeCell ref="P9:Q9"/>
    <mergeCell ref="P10:Q10"/>
    <mergeCell ref="R22:R27"/>
    <mergeCell ref="R29:R34"/>
    <mergeCell ref="R36:R40"/>
    <mergeCell ref="P11:Q11"/>
    <mergeCell ref="P12:Q12"/>
    <mergeCell ref="P15:Q15"/>
    <mergeCell ref="R15:R20"/>
    <mergeCell ref="P16:Q16"/>
    <mergeCell ref="P17:Q17"/>
    <mergeCell ref="P18:Q18"/>
    <mergeCell ref="L40:M40"/>
    <mergeCell ref="K41:R41"/>
    <mergeCell ref="F43:J43"/>
    <mergeCell ref="N51:Q54"/>
    <mergeCell ref="L52:M52"/>
    <mergeCell ref="L53:M53"/>
    <mergeCell ref="L54:M54"/>
    <mergeCell ref="B55:R56"/>
    <mergeCell ref="K47:L47"/>
    <mergeCell ref="M47:N47"/>
    <mergeCell ref="L49:N49"/>
    <mergeCell ref="P49:Q49"/>
    <mergeCell ref="R49:R54"/>
    <mergeCell ref="N50:O50"/>
    <mergeCell ref="P50:Q50"/>
    <mergeCell ref="N31:Q34"/>
    <mergeCell ref="N36:Q40"/>
    <mergeCell ref="H37:J37"/>
    <mergeCell ref="L37:M37"/>
    <mergeCell ref="H38:J38"/>
    <mergeCell ref="L38:M38"/>
    <mergeCell ref="L39:M39"/>
    <mergeCell ref="K43:L43"/>
    <mergeCell ref="M43:N43"/>
    <mergeCell ref="K44:L44"/>
    <mergeCell ref="M44:N44"/>
    <mergeCell ref="K45:L45"/>
    <mergeCell ref="M45:N45"/>
    <mergeCell ref="K46:L46"/>
    <mergeCell ref="M46:N46"/>
    <mergeCell ref="H39:J39"/>
    <mergeCell ref="H40:J40"/>
    <mergeCell ref="H41:J41"/>
    <mergeCell ref="H42:J42"/>
    <mergeCell ref="K42:L42"/>
    <mergeCell ref="M42:N42"/>
    <mergeCell ref="R42:R47"/>
    <mergeCell ref="K48:R48"/>
    <mergeCell ref="L50:M50"/>
    <mergeCell ref="L51:M51"/>
  </mergeCells>
  <conditionalFormatting sqref="D17:E17">
    <cfRule type="cellIs" dxfId="4" priority="1" operator="between">
      <formula>60</formula>
      <formula>100</formula>
    </cfRule>
  </conditionalFormatting>
  <conditionalFormatting sqref="D17:E17">
    <cfRule type="cellIs" dxfId="5" priority="2" operator="notBetween">
      <formula>60</formula>
      <formula>90</formula>
    </cfRule>
  </conditionalFormatting>
  <conditionalFormatting sqref="D18">
    <cfRule type="cellIs" dxfId="4" priority="3" operator="between">
      <formula>60</formula>
      <formula>100</formula>
    </cfRule>
  </conditionalFormatting>
  <conditionalFormatting sqref="D18">
    <cfRule type="cellIs" dxfId="5" priority="4" operator="notBetween">
      <formula>60</formula>
      <formula>100</formula>
    </cfRule>
  </conditionalFormatting>
  <conditionalFormatting sqref="E18">
    <cfRule type="cellIs" dxfId="4" priority="5" operator="between">
      <formula>60</formula>
      <formula>100</formula>
    </cfRule>
  </conditionalFormatting>
  <conditionalFormatting sqref="E18">
    <cfRule type="cellIs" dxfId="6" priority="6" operator="notBetween">
      <formula>60</formula>
      <formula>100</formula>
    </cfRule>
  </conditionalFormatting>
  <conditionalFormatting sqref="D19:E20">
    <cfRule type="cellIs" dxfId="4" priority="7" operator="between">
      <formula>12</formula>
      <formula>20</formula>
    </cfRule>
  </conditionalFormatting>
  <conditionalFormatting sqref="D19:E20">
    <cfRule type="cellIs" dxfId="5" priority="8" operator="notBetween">
      <formula>12</formula>
      <formula>20</formula>
    </cfRule>
  </conditionalFormatting>
  <conditionalFormatting sqref="D20:E20">
    <cfRule type="cellIs" dxfId="4" priority="9" operator="between">
      <formula>35</formula>
      <formula>37.7</formula>
    </cfRule>
  </conditionalFormatting>
  <conditionalFormatting sqref="D20:E20">
    <cfRule type="cellIs" dxfId="5" priority="10" operator="notBetween">
      <formula>35</formula>
      <formula>37.7</formula>
    </cfRule>
  </conditionalFormatting>
  <conditionalFormatting sqref="D21:E21">
    <cfRule type="cellIs" dxfId="4" priority="11" operator="between">
      <formula>92</formula>
      <formula>100</formula>
    </cfRule>
  </conditionalFormatting>
  <conditionalFormatting sqref="D21:E21">
    <cfRule type="cellIs" dxfId="5" priority="12" operator="notBetween">
      <formula>92</formula>
      <formula>100</formula>
    </cfRule>
  </conditionalFormatting>
  <conditionalFormatting sqref="D20:E23">
    <cfRule type="cellIs" dxfId="4" priority="13" operator="between">
      <formula>80</formula>
      <formula>180</formula>
    </cfRule>
  </conditionalFormatting>
  <conditionalFormatting sqref="D20:E23">
    <cfRule type="cellIs" dxfId="5" priority="14" operator="notBetween">
      <formula>80</formula>
      <formula>180</formula>
    </cfRule>
  </conditionalFormatting>
  <conditionalFormatting sqref="H2">
    <cfRule type="cellIs" dxfId="0" priority="15" operator="lessThanOrEqual">
      <formula>1</formula>
    </cfRule>
  </conditionalFormatting>
  <conditionalFormatting sqref="P16:Q16 D47:E47">
    <cfRule type="cellIs" dxfId="1" priority="16" operator="between">
      <formula>60</formula>
      <formula>100</formula>
    </cfRule>
  </conditionalFormatting>
  <conditionalFormatting sqref="P16:Q16">
    <cfRule type="cellIs" dxfId="2" priority="17" operator="notBetween">
      <formula>60</formula>
      <formula>100</formula>
    </cfRule>
  </conditionalFormatting>
  <conditionalFormatting sqref="P15:Q15">
    <cfRule type="cellIs" dxfId="1" priority="18" operator="between">
      <formula>60</formula>
      <formula>100</formula>
    </cfRule>
  </conditionalFormatting>
  <conditionalFormatting sqref="P15:Q15 D47:E47">
    <cfRule type="cellIs" dxfId="3" priority="19" operator="notBetween">
      <formula>60</formula>
      <formula>100</formula>
    </cfRule>
  </conditionalFormatting>
  <conditionalFormatting sqref="P17:Q17">
    <cfRule type="cellIs" dxfId="1" priority="20" operator="between">
      <formula>1</formula>
      <formula>3</formula>
    </cfRule>
  </conditionalFormatting>
  <conditionalFormatting sqref="P17:Q17">
    <cfRule type="cellIs" dxfId="3" priority="21" operator="notBetween">
      <formula>1</formula>
      <formula>3</formula>
    </cfRule>
  </conditionalFormatting>
  <conditionalFormatting sqref="D19:E19 N23">
    <cfRule type="cellIs" dxfId="1" priority="22" operator="between">
      <formula>12</formula>
      <formula>20</formula>
    </cfRule>
  </conditionalFormatting>
  <conditionalFormatting sqref="N23">
    <cfRule type="cellIs" dxfId="3" priority="23" operator="notBetween">
      <formula>12</formula>
      <formula>20</formula>
    </cfRule>
  </conditionalFormatting>
  <conditionalFormatting sqref="N24">
    <cfRule type="cellIs" dxfId="1" priority="24" operator="between">
      <formula>21</formula>
      <formula>45</formula>
    </cfRule>
  </conditionalFormatting>
  <conditionalFormatting sqref="N24">
    <cfRule type="cellIs" dxfId="3" priority="25" operator="notBetween">
      <formula>21</formula>
      <formula>45</formula>
    </cfRule>
  </conditionalFormatting>
  <conditionalFormatting sqref="N25">
    <cfRule type="cellIs" dxfId="1" priority="26" operator="between">
      <formula>3</formula>
      <formula>10</formula>
    </cfRule>
  </conditionalFormatting>
  <conditionalFormatting sqref="N25">
    <cfRule type="cellIs" dxfId="3" priority="27" operator="notBetween">
      <formula>3</formula>
      <formula>10</formula>
    </cfRule>
  </conditionalFormatting>
  <conditionalFormatting sqref="L25:L27">
    <cfRule type="cellIs" dxfId="1" priority="28" operator="between">
      <formula>20</formula>
      <formula>35</formula>
    </cfRule>
  </conditionalFormatting>
  <conditionalFormatting sqref="L25:L27">
    <cfRule type="cellIs" dxfId="3" priority="29" operator="notBetween">
      <formula>20</formula>
      <formula>35</formula>
    </cfRule>
  </conditionalFormatting>
  <conditionalFormatting sqref="D17:E17">
    <cfRule type="cellIs" dxfId="1" priority="30" operator="between">
      <formula>60</formula>
      <formula>100</formula>
    </cfRule>
  </conditionalFormatting>
  <conditionalFormatting sqref="D17:E17">
    <cfRule type="cellIs" dxfId="8" priority="31" operator="notBetween">
      <formula>60</formula>
      <formula>90</formula>
    </cfRule>
  </conditionalFormatting>
  <conditionalFormatting sqref="D18">
    <cfRule type="cellIs" dxfId="1" priority="32" operator="between">
      <formula>60</formula>
      <formula>100</formula>
    </cfRule>
  </conditionalFormatting>
  <conditionalFormatting sqref="D18">
    <cfRule type="cellIs" dxfId="8" priority="33" operator="notBetween">
      <formula>60</formula>
      <formula>100</formula>
    </cfRule>
  </conditionalFormatting>
  <conditionalFormatting sqref="E18">
    <cfRule type="cellIs" dxfId="1" priority="34" operator="between">
      <formula>60</formula>
      <formula>100</formula>
    </cfRule>
  </conditionalFormatting>
  <conditionalFormatting sqref="E18">
    <cfRule type="cellIs" dxfId="3" priority="35" operator="notBetween">
      <formula>60</formula>
      <formula>100</formula>
    </cfRule>
  </conditionalFormatting>
  <conditionalFormatting sqref="D19:E20">
    <cfRule type="cellIs" dxfId="1" priority="36" operator="between">
      <formula>12</formula>
      <formula>20</formula>
    </cfRule>
  </conditionalFormatting>
  <conditionalFormatting sqref="D19:E20">
    <cfRule type="cellIs" dxfId="8" priority="37" operator="notBetween">
      <formula>12</formula>
      <formula>20</formula>
    </cfRule>
  </conditionalFormatting>
  <conditionalFormatting sqref="D20:E20">
    <cfRule type="cellIs" dxfId="1" priority="38" operator="between">
      <formula>35</formula>
      <formula>37.7</formula>
    </cfRule>
  </conditionalFormatting>
  <conditionalFormatting sqref="D20:E20">
    <cfRule type="cellIs" dxfId="8" priority="39" operator="notBetween">
      <formula>35</formula>
      <formula>37.7</formula>
    </cfRule>
  </conditionalFormatting>
  <conditionalFormatting sqref="D21:E21 D50:E50">
    <cfRule type="cellIs" dxfId="1" priority="40" operator="between">
      <formula>92</formula>
      <formula>100</formula>
    </cfRule>
  </conditionalFormatting>
  <conditionalFormatting sqref="D21:E21">
    <cfRule type="cellIs" dxfId="8" priority="41" operator="notBetween">
      <formula>92</formula>
      <formula>100</formula>
    </cfRule>
  </conditionalFormatting>
  <conditionalFormatting sqref="D21:E23">
    <cfRule type="cellIs" dxfId="1" priority="42" operator="between">
      <formula>80</formula>
      <formula>180</formula>
    </cfRule>
  </conditionalFormatting>
  <conditionalFormatting sqref="D21:E23">
    <cfRule type="cellIs" dxfId="8" priority="43" operator="notBetween">
      <formula>80</formula>
      <formula>180</formula>
    </cfRule>
  </conditionalFormatting>
  <conditionalFormatting sqref="J15:J16">
    <cfRule type="cellIs" dxfId="1" priority="44" operator="between">
      <formula>500</formula>
      <formula>2500</formula>
    </cfRule>
  </conditionalFormatting>
  <conditionalFormatting sqref="J15:J16">
    <cfRule type="cellIs" dxfId="3" priority="45" operator="notBetween">
      <formula>500</formula>
      <formula>2500</formula>
    </cfRule>
  </conditionalFormatting>
  <conditionalFormatting sqref="D26:E26">
    <cfRule type="cellIs" dxfId="1" priority="46" operator="between">
      <formula>7</formula>
      <formula>16</formula>
    </cfRule>
  </conditionalFormatting>
  <conditionalFormatting sqref="D26:E26">
    <cfRule type="cellIs" dxfId="3" priority="47" operator="notBetween">
      <formula>7</formula>
      <formula>16</formula>
    </cfRule>
  </conditionalFormatting>
  <conditionalFormatting sqref="D28:E28">
    <cfRule type="cellIs" dxfId="1" priority="48" operator="between">
      <formula>4000</formula>
      <formula>12000</formula>
    </cfRule>
  </conditionalFormatting>
  <conditionalFormatting sqref="D28:E28">
    <cfRule type="cellIs" dxfId="3" priority="49" operator="notBetween">
      <formula>4000</formula>
      <formula>12000</formula>
    </cfRule>
  </conditionalFormatting>
  <conditionalFormatting sqref="D29:E29">
    <cfRule type="cellIs" dxfId="1" priority="50" operator="between">
      <formula>150000</formula>
      <formula>500000</formula>
    </cfRule>
  </conditionalFormatting>
  <conditionalFormatting sqref="D29:E29">
    <cfRule type="cellIs" dxfId="3" priority="51" operator="notBetween">
      <formula>150000</formula>
      <formula>500000</formula>
    </cfRule>
  </conditionalFormatting>
  <conditionalFormatting sqref="D31:E31">
    <cfRule type="cellIs" dxfId="1" priority="52" operator="between">
      <formula>10</formula>
      <formula>45</formula>
    </cfRule>
  </conditionalFormatting>
  <conditionalFormatting sqref="D31:E31">
    <cfRule type="cellIs" dxfId="3" priority="53" operator="notBetween">
      <formula>10</formula>
      <formula>45</formula>
    </cfRule>
  </conditionalFormatting>
  <conditionalFormatting sqref="D32:E32">
    <cfRule type="cellIs" dxfId="1" priority="54" operator="between">
      <formula>0.5</formula>
      <formula>1.4</formula>
    </cfRule>
  </conditionalFormatting>
  <conditionalFormatting sqref="D32:E32">
    <cfRule type="cellIs" dxfId="3" priority="55" operator="notBetween">
      <formula>0.5</formula>
      <formula>1.4</formula>
    </cfRule>
  </conditionalFormatting>
  <conditionalFormatting sqref="D33:E33">
    <cfRule type="cellIs" dxfId="1" priority="56" operator="between">
      <formula>135</formula>
      <formula>145</formula>
    </cfRule>
  </conditionalFormatting>
  <conditionalFormatting sqref="D33:E33">
    <cfRule type="cellIs" dxfId="3" priority="57" operator="notBetween">
      <formula>135</formula>
      <formula>145</formula>
    </cfRule>
  </conditionalFormatting>
  <conditionalFormatting sqref="D34:E34">
    <cfRule type="cellIs" dxfId="1" priority="58" operator="between">
      <formula>3.5</formula>
      <formula>5.5</formula>
    </cfRule>
  </conditionalFormatting>
  <conditionalFormatting sqref="D34:E34">
    <cfRule type="cellIs" dxfId="3" priority="59" operator="notBetween">
      <formula>3.5</formula>
      <formula>5.5</formula>
    </cfRule>
  </conditionalFormatting>
  <conditionalFormatting sqref="D38:E38">
    <cfRule type="cellIs" dxfId="1" priority="60" operator="between">
      <formula>0</formula>
      <formula>0.1</formula>
    </cfRule>
  </conditionalFormatting>
  <conditionalFormatting sqref="D38:E38">
    <cfRule type="cellIs" dxfId="3" priority="61" operator="notBetween">
      <formula>0</formula>
      <formula>0.1</formula>
    </cfRule>
  </conditionalFormatting>
  <conditionalFormatting sqref="D45:E45">
    <cfRule type="cellIs" dxfId="1" priority="62" operator="between">
      <formula>7.35</formula>
      <formula>7.45</formula>
    </cfRule>
  </conditionalFormatting>
  <conditionalFormatting sqref="D45:E45">
    <cfRule type="cellIs" dxfId="3" priority="63" operator="notBetween">
      <formula>7.35</formula>
      <formula>7.45</formula>
    </cfRule>
  </conditionalFormatting>
  <conditionalFormatting sqref="D46:E46">
    <cfRule type="cellIs" dxfId="1" priority="64" operator="between">
      <formula>35</formula>
      <formula>45</formula>
    </cfRule>
  </conditionalFormatting>
  <conditionalFormatting sqref="D46:E46">
    <cfRule type="cellIs" dxfId="3" priority="65" operator="notBetween">
      <formula>35</formula>
      <formula>45</formula>
    </cfRule>
  </conditionalFormatting>
  <conditionalFormatting sqref="D47:E47">
    <cfRule type="cellIs" dxfId="1" priority="66" operator="between">
      <formula>60</formula>
      <formula>100</formula>
    </cfRule>
  </conditionalFormatting>
  <conditionalFormatting sqref="D47:E47">
    <cfRule type="cellIs" dxfId="3" priority="67" operator="notBetween">
      <formula>60</formula>
      <formula>100</formula>
    </cfRule>
  </conditionalFormatting>
  <conditionalFormatting sqref="D48:E48">
    <cfRule type="cellIs" dxfId="1" priority="68" operator="between">
      <formula>18</formula>
      <formula>30</formula>
    </cfRule>
  </conditionalFormatting>
  <conditionalFormatting sqref="D48:E48">
    <cfRule type="cellIs" dxfId="3" priority="69" operator="notBetween">
      <formula>18</formula>
      <formula>30</formula>
    </cfRule>
  </conditionalFormatting>
  <conditionalFormatting sqref="D49:E49">
    <cfRule type="cellIs" dxfId="1" priority="70" operator="between">
      <formula>-2</formula>
      <formula>2</formula>
    </cfRule>
  </conditionalFormatting>
  <conditionalFormatting sqref="D49:E49">
    <cfRule type="cellIs" dxfId="3" priority="71" operator="notBetween">
      <formula>-2</formula>
      <formula>2</formula>
    </cfRule>
  </conditionalFormatting>
  <conditionalFormatting sqref="D50:E50">
    <cfRule type="cellIs" dxfId="1" priority="72" operator="between">
      <formula>92</formula>
      <formula>100</formula>
    </cfRule>
  </conditionalFormatting>
  <conditionalFormatting sqref="D50:E50">
    <cfRule type="cellIs" dxfId="3" priority="73" operator="notBetween">
      <formula>92</formula>
      <formula>100</formula>
    </cfRule>
  </conditionalFormatting>
  <conditionalFormatting sqref="D51:E51">
    <cfRule type="cellIs" dxfId="1" priority="74" operator="between">
      <formula>400</formula>
      <formula>600</formula>
    </cfRule>
  </conditionalFormatting>
  <conditionalFormatting sqref="D51:E51">
    <cfRule type="cellIs" dxfId="3" priority="75" operator="notBetween">
      <formula>400</formula>
      <formula>600</formula>
    </cfRule>
  </conditionalFormatting>
  <conditionalFormatting sqref="B35">
    <cfRule type="cellIs" dxfId="1" priority="76" operator="between">
      <formula>0</formula>
      <formula>20</formula>
    </cfRule>
  </conditionalFormatting>
  <conditionalFormatting sqref="B35">
    <cfRule type="cellIs" dxfId="7" priority="77" operator="between">
      <formula>20</formula>
      <formula>50</formula>
    </cfRule>
  </conditionalFormatting>
  <conditionalFormatting sqref="B35">
    <cfRule type="cellIs" dxfId="8" priority="78" operator="between">
      <formula>50</formula>
      <formula>100</formula>
    </cfRule>
  </conditionalFormatting>
  <conditionalFormatting sqref="P8:Q8">
    <cfRule type="cellIs" dxfId="1" priority="79" operator="between">
      <formula>13</formula>
      <formula>15</formula>
    </cfRule>
  </conditionalFormatting>
  <conditionalFormatting sqref="P8:Q8">
    <cfRule type="cellIs" dxfId="3" priority="80" operator="notBetween">
      <formula>13</formula>
      <formula>15</formula>
    </cfRule>
  </conditionalFormatting>
  <conditionalFormatting sqref="P9:Q9">
    <cfRule type="cellIs" dxfId="1" priority="81" operator="between">
      <formula>0</formula>
      <formula>-2</formula>
    </cfRule>
  </conditionalFormatting>
  <conditionalFormatting sqref="P9:Q9">
    <cfRule type="cellIs" dxfId="3" priority="82" operator="notBetween">
      <formula>0</formula>
      <formula>-2</formula>
    </cfRule>
  </conditionalFormatting>
  <conditionalFormatting sqref="L49:N49">
    <cfRule type="notContainsBlanks" dxfId="3" priority="83">
      <formula>LEN(TRIM(L49))&gt;0</formula>
    </cfRule>
  </conditionalFormatting>
  <conditionalFormatting sqref="B33">
    <cfRule type="cellIs" dxfId="8" priority="84" operator="lessThan">
      <formula>40</formula>
    </cfRule>
  </conditionalFormatting>
  <conditionalFormatting sqref="B33">
    <cfRule type="cellIs" dxfId="9" priority="85" operator="between">
      <formula>40</formula>
      <formula>60</formula>
    </cfRule>
  </conditionalFormatting>
  <conditionalFormatting sqref="B33">
    <cfRule type="cellIs" dxfId="1" priority="86" operator="greaterThan">
      <formula>60</formula>
    </cfRule>
  </conditionalFormatting>
  <conditionalFormatting sqref="K1:K2">
    <cfRule type="notContainsBlanks" dxfId="8" priority="87">
      <formula>LEN(TRIM(K1))&gt;0</formula>
    </cfRule>
  </conditionalFormatting>
  <dataValidations>
    <dataValidation type="list" allowBlank="1" showErrorMessage="1" sqref="K9">
      <formula1>"MIDAZOLAM 2X,MIDAZOLAM 5X,FENTANIL 2X, FENTANIL 5X,TRIDIL 1X,DOBUTA 4X,PROPOFOL 5X,CETAMINA 2X,PRECEDEX 2X,ROCURONIO 5X"</formula1>
    </dataValidation>
    <dataValidation type="list" allowBlank="1" showErrorMessage="1" sqref="P20 L37 L39">
      <formula1>"SIM,NÃO"</formula1>
    </dataValidation>
    <dataValidation type="list" allowBlank="1" showErrorMessage="1" sqref="L29">
      <formula1>"JEJUM,GERAL,BRANDA,PASTOSA,LEVE,LIQ.C/RESÍDUO,LIQ.S/RESÍDUO,LIQ.FRIA,ÁGUA,CHÁ,GELATINA,DIBEN,HP ENERGI,ENERGI,DIAMAX"</formula1>
    </dataValidation>
    <dataValidation type="list" allowBlank="1" showErrorMessage="1" sqref="P49">
      <formula1>"N/A,I,II,III,IV,INCLASSIFICÁVEL"</formula1>
    </dataValidation>
    <dataValidation type="list" allowBlank="1" showErrorMessage="1" sqref="K10:K13">
      <formula1>"MIDAZOLAM,FENTANIL,PROPOFOL,CETAMINA,PRECEDEX,ROCURONIO,FENTANIL X2:"</formula1>
    </dataValidation>
    <dataValidation type="list" allowBlank="1" showErrorMessage="1" sqref="K16:K20">
      <formula1>"NORADRENALINA 4X,NORADRENALINA 8X,VASOPRESSINA 2X,NIPRID 1X, TRIDIL 1X,DOBUTAMINA 4X,DOPAMINA 5X,NIPRIDE X2"</formula1>
    </dataValidation>
    <dataValidation type="list" allowBlank="1" showErrorMessage="1" sqref="L22">
      <formula1>"TOT,TQT,VNI,CNO2,MNR,VENTURI,AA"</formula1>
    </dataValidation>
    <dataValidation type="list" allowBlank="1" showErrorMessage="1" sqref="P11:P13 P18 L31:L34 L36 L38">
      <formula1>"SIM,NÃO"</formula1>
    </dataValidation>
    <dataValidation type="list" allowBlank="1" showErrorMessage="1" sqref="L23">
      <formula1>"1ºdia,2ºdia,3ºdia,4ºdia,5ºdia"</formula1>
    </dataValidation>
    <dataValidation type="list" allowBlank="1" showErrorMessage="1" sqref="P19">
      <formula1>"SIM,NÃO,N/A"</formula1>
    </dataValidation>
    <dataValidation type="list" allowBlank="1" showErrorMessage="1" sqref="M42:M43 M45">
      <formula1>"SIM,NÃO,N/A"</formula1>
    </dataValidation>
    <dataValidation type="list" allowBlank="1" showErrorMessage="1" sqref="O29">
      <formula1>"N/A,ORAL,SNE,GTT,PARENTERAL"</formula1>
    </dataValidation>
    <dataValidation type="list" allowBlank="1" showErrorMessage="1" sqref="M47">
      <formula1>"SANGRAMENTO,AGUARDA CC,QUEDA HB,PLAQUETOPENIA"</formula1>
    </dataValidation>
    <dataValidation type="list" allowBlank="1" showErrorMessage="1" sqref="M44 M46 L51:L53">
      <formula1>"SIM,NÃO,N/A"</formula1>
    </dataValidation>
  </dataValidations>
  <hyperlinks>
    <hyperlink r:id="rId1" ref="H37"/>
  </hyperlinks>
  <printOptions gridLines="1" horizontalCentered="1"/>
  <pageMargins bottom="0.14871749934278886" footer="0.0" header="0.0" left="0.18589687417848605" right="0.18589687417848605" top="0.18589687417848605"/>
  <pageSetup paperSize="9" cellComments="atEnd" orientation="landscape" pageOrder="overThenDown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9.88"/>
    <col customWidth="1" min="3" max="3" width="10.38"/>
    <col customWidth="1" min="4" max="5" width="8.63"/>
    <col customWidth="1" min="6" max="7" width="8.38"/>
    <col customWidth="1" min="8" max="8" width="9.13"/>
    <col customWidth="1" min="9" max="9" width="9.5"/>
    <col customWidth="1" min="10" max="10" width="9.38"/>
    <col customWidth="1" min="11" max="11" width="19.5"/>
    <col customWidth="1" min="12" max="12" width="10.5"/>
    <col customWidth="1" min="13" max="14" width="7.0"/>
    <col customWidth="1" min="15" max="15" width="13.13"/>
    <col customWidth="1" min="16" max="16" width="6.0"/>
    <col customWidth="1" min="17" max="17" width="9.25"/>
    <col customWidth="1" min="18" max="18" width="25.63"/>
  </cols>
  <sheetData>
    <row r="1" ht="16.5" customHeight="1">
      <c r="A1" s="43" t="s">
        <v>24</v>
      </c>
      <c r="B1" s="328"/>
      <c r="C1" s="45" t="s">
        <v>25</v>
      </c>
      <c r="D1" s="329"/>
      <c r="E1" s="47"/>
      <c r="F1" s="47"/>
      <c r="G1" s="48"/>
      <c r="H1" s="49" t="s">
        <v>4</v>
      </c>
      <c r="I1" s="330"/>
      <c r="J1" s="345" t="s">
        <v>546</v>
      </c>
      <c r="K1" s="346"/>
      <c r="L1" s="53" t="s">
        <v>28</v>
      </c>
      <c r="M1" s="347"/>
      <c r="N1" s="55"/>
      <c r="O1" s="55"/>
      <c r="P1" s="55"/>
      <c r="Q1" s="56"/>
      <c r="R1" s="57" t="s">
        <v>30</v>
      </c>
    </row>
    <row r="2" ht="27.75" customHeight="1">
      <c r="A2" s="58" t="s">
        <v>31</v>
      </c>
      <c r="B2" s="332"/>
      <c r="C2" s="60" t="s">
        <v>32</v>
      </c>
      <c r="D2" s="290">
        <v>46003.0</v>
      </c>
      <c r="E2" s="62" t="s">
        <v>33</v>
      </c>
      <c r="F2" s="348"/>
      <c r="G2" s="64" t="s">
        <v>34</v>
      </c>
      <c r="H2" s="349"/>
      <c r="I2" s="66"/>
      <c r="J2" s="67"/>
      <c r="K2" s="67"/>
      <c r="L2" s="67"/>
      <c r="M2" s="68"/>
      <c r="N2" s="69"/>
      <c r="O2" s="69"/>
      <c r="P2" s="69"/>
      <c r="Q2" s="70"/>
      <c r="R2" s="71"/>
    </row>
    <row r="3" ht="36.0" customHeight="1">
      <c r="A3" s="72" t="s">
        <v>35</v>
      </c>
      <c r="B3" s="33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66"/>
      <c r="R3" s="75" t="s">
        <v>37</v>
      </c>
    </row>
    <row r="4" ht="30.75" customHeight="1">
      <c r="A4" s="72" t="s">
        <v>38</v>
      </c>
      <c r="B4" s="33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66"/>
      <c r="R4" s="76">
        <f>TODAY()</f>
        <v>46009</v>
      </c>
    </row>
    <row r="5" ht="12.75" customHeight="1">
      <c r="A5" s="77" t="s">
        <v>40</v>
      </c>
      <c r="B5" s="335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80"/>
      <c r="R5" s="81"/>
    </row>
    <row r="6" ht="12.75" customHeight="1">
      <c r="A6" s="82" t="s">
        <v>42</v>
      </c>
      <c r="B6" s="83"/>
      <c r="C6" s="82" t="s">
        <v>43</v>
      </c>
      <c r="D6" s="84"/>
      <c r="E6" s="84"/>
      <c r="F6" s="84"/>
      <c r="G6" s="84"/>
      <c r="H6" s="84"/>
      <c r="I6" s="84"/>
      <c r="J6" s="83"/>
      <c r="K6" s="85" t="s">
        <v>44</v>
      </c>
      <c r="L6" s="55"/>
      <c r="M6" s="55"/>
      <c r="N6" s="55"/>
      <c r="O6" s="55"/>
      <c r="P6" s="55"/>
      <c r="Q6" s="56"/>
      <c r="R6" s="86" t="s">
        <v>45</v>
      </c>
    </row>
    <row r="7" ht="12.75" customHeight="1">
      <c r="A7" s="87" t="s">
        <v>46</v>
      </c>
      <c r="B7" s="88"/>
      <c r="C7" s="89" t="s">
        <v>47</v>
      </c>
      <c r="D7" s="69"/>
      <c r="E7" s="69"/>
      <c r="F7" s="69"/>
      <c r="G7" s="69"/>
      <c r="H7" s="69"/>
      <c r="I7" s="69"/>
      <c r="J7" s="90"/>
      <c r="K7" s="91" t="s">
        <v>48</v>
      </c>
      <c r="L7" s="92"/>
      <c r="M7" s="92"/>
      <c r="N7" s="92"/>
      <c r="O7" s="92"/>
      <c r="P7" s="92"/>
      <c r="Q7" s="92"/>
      <c r="R7" s="93"/>
    </row>
    <row r="8" ht="12.75" customHeight="1">
      <c r="A8" s="94"/>
      <c r="B8" s="90"/>
      <c r="C8" s="95"/>
      <c r="D8" s="79"/>
      <c r="E8" s="79"/>
      <c r="F8" s="79"/>
      <c r="G8" s="79"/>
      <c r="H8" s="79"/>
      <c r="I8" s="79"/>
      <c r="J8" s="96"/>
      <c r="K8" s="97" t="s">
        <v>50</v>
      </c>
      <c r="L8" s="98" t="s">
        <v>51</v>
      </c>
      <c r="M8" s="98" t="s">
        <v>52</v>
      </c>
      <c r="N8" s="99" t="s">
        <v>53</v>
      </c>
      <c r="O8" s="100" t="s">
        <v>54</v>
      </c>
      <c r="P8" s="101"/>
      <c r="Q8" s="70"/>
      <c r="R8" s="102"/>
    </row>
    <row r="9" ht="12.75" customHeight="1">
      <c r="A9" s="103"/>
      <c r="B9" s="96"/>
      <c r="J9" s="88"/>
      <c r="K9" s="104"/>
      <c r="L9" s="105"/>
      <c r="M9" s="105"/>
      <c r="N9" s="113"/>
      <c r="O9" s="108" t="s">
        <v>58</v>
      </c>
      <c r="P9" s="109"/>
      <c r="Q9" s="66"/>
      <c r="R9" s="110"/>
    </row>
    <row r="10" ht="12.75" customHeight="1">
      <c r="A10" s="111"/>
      <c r="B10" s="88"/>
      <c r="J10" s="88"/>
      <c r="K10" s="104"/>
      <c r="L10" s="112"/>
      <c r="M10" s="112"/>
      <c r="N10" s="113"/>
      <c r="O10" s="108" t="s">
        <v>59</v>
      </c>
      <c r="P10" s="109"/>
      <c r="Q10" s="66"/>
      <c r="R10" s="110"/>
    </row>
    <row r="11">
      <c r="A11" s="111"/>
      <c r="B11" s="88"/>
      <c r="J11" s="88"/>
      <c r="K11" s="104"/>
      <c r="L11" s="112"/>
      <c r="M11" s="112"/>
      <c r="N11" s="114"/>
      <c r="O11" s="115" t="s">
        <v>61</v>
      </c>
      <c r="P11" s="116"/>
      <c r="Q11" s="66"/>
      <c r="R11" s="110"/>
    </row>
    <row r="12">
      <c r="A12" s="111"/>
      <c r="B12" s="88"/>
      <c r="J12" s="88"/>
      <c r="K12" s="104"/>
      <c r="L12" s="112"/>
      <c r="M12" s="112"/>
      <c r="N12" s="113"/>
      <c r="O12" s="108" t="s">
        <v>63</v>
      </c>
      <c r="P12" s="116"/>
      <c r="Q12" s="66"/>
      <c r="R12" s="110"/>
    </row>
    <row r="13">
      <c r="A13" s="111"/>
      <c r="B13" s="88"/>
      <c r="C13" s="69"/>
      <c r="D13" s="69"/>
      <c r="E13" s="69"/>
      <c r="F13" s="69"/>
      <c r="G13" s="69"/>
      <c r="H13" s="69"/>
      <c r="I13" s="69"/>
      <c r="J13" s="90"/>
      <c r="K13" s="117"/>
      <c r="L13" s="118"/>
      <c r="M13" s="118"/>
      <c r="N13" s="119"/>
      <c r="O13" s="120" t="s">
        <v>64</v>
      </c>
      <c r="P13" s="121"/>
      <c r="Q13" s="80"/>
      <c r="R13" s="81"/>
    </row>
    <row r="14" ht="12.75" customHeight="1">
      <c r="A14" s="122" t="s">
        <v>66</v>
      </c>
      <c r="B14" s="123"/>
      <c r="C14" s="124" t="s">
        <v>67</v>
      </c>
      <c r="D14" s="47"/>
      <c r="E14" s="123"/>
      <c r="F14" s="124" t="s">
        <v>68</v>
      </c>
      <c r="G14" s="47"/>
      <c r="H14" s="123"/>
      <c r="I14" s="124" t="s">
        <v>69</v>
      </c>
      <c r="J14" s="123"/>
      <c r="K14" s="91" t="s">
        <v>70</v>
      </c>
      <c r="L14" s="92"/>
      <c r="M14" s="92"/>
      <c r="N14" s="92"/>
      <c r="O14" s="92"/>
      <c r="P14" s="92"/>
      <c r="Q14" s="92"/>
      <c r="R14" s="93"/>
    </row>
    <row r="15" ht="12.75" customHeight="1">
      <c r="A15" s="125" t="s">
        <v>71</v>
      </c>
      <c r="B15" s="126"/>
      <c r="C15" s="127" t="s">
        <v>72</v>
      </c>
      <c r="E15" s="128"/>
      <c r="F15" s="129" t="s">
        <v>37</v>
      </c>
      <c r="G15" s="130" t="s">
        <v>73</v>
      </c>
      <c r="H15" s="131" t="s">
        <v>74</v>
      </c>
      <c r="I15" s="132" t="s">
        <v>75</v>
      </c>
      <c r="J15" s="144"/>
      <c r="K15" s="97" t="s">
        <v>76</v>
      </c>
      <c r="L15" s="98" t="s">
        <v>51</v>
      </c>
      <c r="M15" s="98" t="s">
        <v>52</v>
      </c>
      <c r="N15" s="99" t="s">
        <v>53</v>
      </c>
      <c r="O15" s="134" t="s">
        <v>547</v>
      </c>
      <c r="P15" s="101"/>
      <c r="Q15" s="70"/>
      <c r="R15" s="102"/>
    </row>
    <row r="16" ht="12.75" customHeight="1">
      <c r="A16" s="135" t="s">
        <v>79</v>
      </c>
      <c r="B16" s="136" t="b">
        <v>0</v>
      </c>
      <c r="C16" s="137"/>
      <c r="D16" s="138" t="s">
        <v>80</v>
      </c>
      <c r="E16" s="138" t="s">
        <v>81</v>
      </c>
      <c r="F16" s="139"/>
      <c r="G16" s="112"/>
      <c r="H16" s="140"/>
      <c r="I16" s="141"/>
      <c r="J16" s="142"/>
      <c r="K16" s="104"/>
      <c r="L16" s="105"/>
      <c r="M16" s="105"/>
      <c r="N16" s="113"/>
      <c r="O16" s="108" t="s">
        <v>83</v>
      </c>
      <c r="P16" s="109"/>
      <c r="Q16" s="66"/>
      <c r="R16" s="110"/>
    </row>
    <row r="17" ht="12.75" customHeight="1">
      <c r="A17" s="135" t="s">
        <v>84</v>
      </c>
      <c r="B17" s="136" t="b">
        <v>0</v>
      </c>
      <c r="C17" s="139" t="s">
        <v>85</v>
      </c>
      <c r="D17" s="143"/>
      <c r="E17" s="140"/>
      <c r="F17" s="139"/>
      <c r="G17" s="112"/>
      <c r="H17" s="140"/>
      <c r="I17" s="132" t="s">
        <v>86</v>
      </c>
      <c r="J17" s="144"/>
      <c r="K17" s="104"/>
      <c r="L17" s="105"/>
      <c r="M17" s="112"/>
      <c r="N17" s="113"/>
      <c r="O17" s="108" t="s">
        <v>89</v>
      </c>
      <c r="P17" s="109"/>
      <c r="Q17" s="66"/>
      <c r="R17" s="110"/>
    </row>
    <row r="18" ht="12.75" customHeight="1">
      <c r="A18" s="146" t="s">
        <v>90</v>
      </c>
      <c r="B18" s="147" t="b">
        <v>0</v>
      </c>
      <c r="C18" s="139" t="s">
        <v>83</v>
      </c>
      <c r="D18" s="112"/>
      <c r="E18" s="140"/>
      <c r="F18" s="139"/>
      <c r="G18" s="112"/>
      <c r="H18" s="140"/>
      <c r="I18" s="141"/>
      <c r="J18" s="142"/>
      <c r="K18" s="104"/>
      <c r="L18" s="105"/>
      <c r="M18" s="112"/>
      <c r="N18" s="148"/>
      <c r="O18" s="149" t="s">
        <v>91</v>
      </c>
      <c r="P18" s="116"/>
      <c r="Q18" s="66"/>
      <c r="R18" s="110"/>
    </row>
    <row r="19" ht="12.75" customHeight="1">
      <c r="A19" s="122" t="s">
        <v>93</v>
      </c>
      <c r="B19" s="123"/>
      <c r="C19" s="139" t="s">
        <v>94</v>
      </c>
      <c r="D19" s="112"/>
      <c r="E19" s="140"/>
      <c r="F19" s="139"/>
      <c r="G19" s="112"/>
      <c r="H19" s="140"/>
      <c r="I19" s="132" t="s">
        <v>95</v>
      </c>
      <c r="J19" s="150"/>
      <c r="K19" s="104"/>
      <c r="L19" s="105"/>
      <c r="M19" s="112"/>
      <c r="N19" s="148"/>
      <c r="O19" s="149" t="s">
        <v>96</v>
      </c>
      <c r="P19" s="116"/>
      <c r="Q19" s="66"/>
      <c r="R19" s="110"/>
    </row>
    <row r="20" ht="12.75" customHeight="1">
      <c r="A20" s="135" t="s">
        <v>97</v>
      </c>
      <c r="B20" s="136" t="b">
        <v>0</v>
      </c>
      <c r="C20" s="139" t="s">
        <v>98</v>
      </c>
      <c r="D20" s="151"/>
      <c r="E20" s="140"/>
      <c r="F20" s="152" t="s">
        <v>99</v>
      </c>
      <c r="G20" s="74"/>
      <c r="H20" s="126"/>
      <c r="I20" s="141"/>
      <c r="J20" s="142"/>
      <c r="K20" s="117"/>
      <c r="L20" s="153"/>
      <c r="M20" s="118"/>
      <c r="N20" s="119"/>
      <c r="O20" s="120" t="s">
        <v>100</v>
      </c>
      <c r="P20" s="121"/>
      <c r="Q20" s="80"/>
      <c r="R20" s="81"/>
    </row>
    <row r="21" ht="12.75" customHeight="1">
      <c r="A21" s="135" t="s">
        <v>101</v>
      </c>
      <c r="B21" s="136" t="b">
        <v>0</v>
      </c>
      <c r="C21" s="139" t="s">
        <v>102</v>
      </c>
      <c r="D21" s="112"/>
      <c r="E21" s="140"/>
      <c r="F21" s="154"/>
      <c r="G21" s="66"/>
      <c r="H21" s="140"/>
      <c r="I21" s="152" t="s">
        <v>104</v>
      </c>
      <c r="J21" s="126"/>
      <c r="K21" s="91" t="s">
        <v>105</v>
      </c>
      <c r="L21" s="92"/>
      <c r="M21" s="92"/>
      <c r="N21" s="92"/>
      <c r="O21" s="92"/>
      <c r="P21" s="92"/>
      <c r="Q21" s="92"/>
      <c r="R21" s="93"/>
    </row>
    <row r="22" ht="12.75" customHeight="1">
      <c r="A22" s="146" t="s">
        <v>106</v>
      </c>
      <c r="B22" s="147" t="b">
        <v>0</v>
      </c>
      <c r="C22" s="139" t="s">
        <v>107</v>
      </c>
      <c r="D22" s="112"/>
      <c r="E22" s="140"/>
      <c r="F22" s="154"/>
      <c r="G22" s="66"/>
      <c r="H22" s="140"/>
      <c r="I22" s="218"/>
      <c r="J22" s="96"/>
      <c r="K22" s="301" t="s">
        <v>108</v>
      </c>
      <c r="L22" s="350"/>
      <c r="M22" s="303" t="s">
        <v>110</v>
      </c>
      <c r="N22" s="304"/>
      <c r="O22" s="160" t="s">
        <v>111</v>
      </c>
      <c r="P22" s="157"/>
      <c r="Q22" s="161" t="s">
        <v>112</v>
      </c>
      <c r="R22" s="102"/>
    </row>
    <row r="23" ht="12.75" customHeight="1">
      <c r="A23" s="122" t="s">
        <v>114</v>
      </c>
      <c r="B23" s="123"/>
      <c r="C23" s="139" t="s">
        <v>107</v>
      </c>
      <c r="D23" s="162"/>
      <c r="E23" s="163"/>
      <c r="F23" s="164"/>
      <c r="G23" s="165"/>
      <c r="H23" s="163"/>
      <c r="I23" s="166"/>
      <c r="J23" s="167"/>
      <c r="K23" s="168" t="s">
        <v>115</v>
      </c>
      <c r="L23" s="169"/>
      <c r="M23" s="170" t="s">
        <v>94</v>
      </c>
      <c r="N23" s="169"/>
      <c r="O23" s="170" t="s">
        <v>116</v>
      </c>
      <c r="P23" s="169"/>
      <c r="Q23" s="171" t="s">
        <v>390</v>
      </c>
      <c r="R23" s="110"/>
    </row>
    <row r="24" ht="12.75" customHeight="1">
      <c r="A24" s="103"/>
      <c r="B24" s="351"/>
      <c r="C24" s="122" t="s">
        <v>118</v>
      </c>
      <c r="D24" s="47"/>
      <c r="E24" s="123"/>
      <c r="F24" s="172" t="s">
        <v>119</v>
      </c>
      <c r="G24" s="47"/>
      <c r="H24" s="47"/>
      <c r="I24" s="47"/>
      <c r="J24" s="123"/>
      <c r="K24" s="168" t="s">
        <v>120</v>
      </c>
      <c r="L24" s="169"/>
      <c r="M24" s="170" t="s">
        <v>121</v>
      </c>
      <c r="N24" s="169"/>
      <c r="O24" s="170" t="s">
        <v>122</v>
      </c>
      <c r="P24" s="169"/>
      <c r="Q24" s="173" t="s">
        <v>123</v>
      </c>
      <c r="R24" s="110"/>
    </row>
    <row r="25" ht="12.75" customHeight="1">
      <c r="A25" s="87"/>
      <c r="B25" s="352"/>
      <c r="C25" s="174"/>
      <c r="D25" s="175" t="s">
        <v>124</v>
      </c>
      <c r="E25" s="176" t="s">
        <v>125</v>
      </c>
      <c r="F25" s="177" t="s">
        <v>37</v>
      </c>
      <c r="G25" s="178" t="s">
        <v>126</v>
      </c>
      <c r="H25" s="179" t="s">
        <v>127</v>
      </c>
      <c r="I25" s="74"/>
      <c r="J25" s="126"/>
      <c r="K25" s="168" t="s">
        <v>128</v>
      </c>
      <c r="L25" s="169"/>
      <c r="M25" s="170" t="s">
        <v>129</v>
      </c>
      <c r="N25" s="169"/>
      <c r="O25" s="170" t="s">
        <v>130</v>
      </c>
      <c r="P25" s="169"/>
      <c r="Q25" s="171"/>
      <c r="R25" s="110"/>
    </row>
    <row r="26" ht="12.75" customHeight="1">
      <c r="A26" s="87"/>
      <c r="B26" s="352"/>
      <c r="C26" s="135" t="s">
        <v>132</v>
      </c>
      <c r="D26" s="225"/>
      <c r="E26" s="136"/>
      <c r="F26" s="185"/>
      <c r="G26" s="186"/>
      <c r="H26" s="187"/>
      <c r="I26" s="74"/>
      <c r="J26" s="126"/>
      <c r="K26" s="168" t="s">
        <v>135</v>
      </c>
      <c r="L26" s="184"/>
      <c r="M26" s="170" t="s">
        <v>136</v>
      </c>
      <c r="N26" s="169"/>
      <c r="O26" s="170" t="s">
        <v>137</v>
      </c>
      <c r="P26" s="169"/>
      <c r="Q26" s="173" t="s">
        <v>138</v>
      </c>
      <c r="R26" s="110"/>
    </row>
    <row r="27" ht="17.25" customHeight="1">
      <c r="A27" s="87"/>
      <c r="B27" s="352"/>
      <c r="C27" s="135" t="s">
        <v>139</v>
      </c>
      <c r="D27" s="225"/>
      <c r="E27" s="136"/>
      <c r="F27" s="185"/>
      <c r="G27" s="186"/>
      <c r="H27" s="187"/>
      <c r="I27" s="74"/>
      <c r="J27" s="126"/>
      <c r="K27" s="188" t="s">
        <v>140</v>
      </c>
      <c r="L27" s="189"/>
      <c r="M27" s="190" t="s">
        <v>141</v>
      </c>
      <c r="N27" s="189"/>
      <c r="O27" s="190" t="s">
        <v>142</v>
      </c>
      <c r="P27" s="189"/>
      <c r="Q27" s="180"/>
      <c r="R27" s="81"/>
    </row>
    <row r="28" ht="12.75" customHeight="1">
      <c r="A28" s="353"/>
      <c r="B28" s="354"/>
      <c r="C28" s="135" t="s">
        <v>143</v>
      </c>
      <c r="D28" s="225"/>
      <c r="E28" s="191"/>
      <c r="F28" s="185"/>
      <c r="G28" s="186"/>
      <c r="H28" s="187"/>
      <c r="I28" s="74"/>
      <c r="J28" s="126"/>
      <c r="K28" s="355" t="s">
        <v>144</v>
      </c>
      <c r="L28" s="55"/>
      <c r="M28" s="55"/>
      <c r="N28" s="55"/>
      <c r="O28" s="55"/>
      <c r="P28" s="55"/>
      <c r="Q28" s="55"/>
      <c r="R28" s="356"/>
    </row>
    <row r="29" ht="12.75" customHeight="1">
      <c r="A29" s="124" t="s">
        <v>145</v>
      </c>
      <c r="B29" s="123"/>
      <c r="C29" s="135" t="s">
        <v>146</v>
      </c>
      <c r="D29" s="219"/>
      <c r="E29" s="191"/>
      <c r="F29" s="185"/>
      <c r="G29" s="186"/>
      <c r="H29" s="187"/>
      <c r="I29" s="74"/>
      <c r="J29" s="126"/>
      <c r="K29" s="357" t="s">
        <v>5</v>
      </c>
      <c r="L29" s="358"/>
      <c r="M29" s="359"/>
      <c r="N29" s="360" t="s">
        <v>148</v>
      </c>
      <c r="O29" s="361"/>
      <c r="P29" s="362" t="s">
        <v>158</v>
      </c>
      <c r="Q29" s="363"/>
      <c r="R29" s="364"/>
    </row>
    <row r="30" ht="12.75" customHeight="1">
      <c r="A30" s="139" t="s">
        <v>151</v>
      </c>
      <c r="B30" s="140"/>
      <c r="C30" s="135" t="s">
        <v>153</v>
      </c>
      <c r="D30" s="225"/>
      <c r="E30" s="136"/>
      <c r="F30" s="185"/>
      <c r="G30" s="186"/>
      <c r="H30" s="187"/>
      <c r="I30" s="74"/>
      <c r="J30" s="126"/>
      <c r="K30" s="365" t="s">
        <v>154</v>
      </c>
      <c r="L30" s="366"/>
      <c r="M30" s="367" t="s">
        <v>156</v>
      </c>
      <c r="N30" s="368"/>
      <c r="O30" s="369"/>
      <c r="P30" s="370" t="s">
        <v>149</v>
      </c>
      <c r="Q30" s="371"/>
      <c r="R30" s="88"/>
    </row>
    <row r="31" ht="12.75" customHeight="1">
      <c r="A31" s="139" t="s">
        <v>160</v>
      </c>
      <c r="B31" s="140"/>
      <c r="C31" s="135" t="s">
        <v>162</v>
      </c>
      <c r="D31" s="225"/>
      <c r="E31" s="136"/>
      <c r="F31" s="139"/>
      <c r="G31" s="112"/>
      <c r="H31" s="187"/>
      <c r="I31" s="74"/>
      <c r="J31" s="126"/>
      <c r="K31" s="372" t="s">
        <v>163</v>
      </c>
      <c r="L31" s="373"/>
      <c r="M31" s="368"/>
      <c r="N31" s="374"/>
      <c r="O31" s="368"/>
      <c r="P31" s="375" t="s">
        <v>391</v>
      </c>
      <c r="Q31" s="376"/>
      <c r="R31" s="88"/>
    </row>
    <row r="32" ht="12.75" customHeight="1">
      <c r="A32" s="139" t="s">
        <v>165</v>
      </c>
      <c r="B32" s="140"/>
      <c r="C32" s="135" t="s">
        <v>167</v>
      </c>
      <c r="D32" s="219"/>
      <c r="E32" s="136"/>
      <c r="F32" s="139"/>
      <c r="G32" s="112"/>
      <c r="H32" s="187"/>
      <c r="I32" s="74"/>
      <c r="J32" s="126"/>
      <c r="K32" s="377" t="s">
        <v>168</v>
      </c>
      <c r="L32" s="378"/>
      <c r="M32" s="368"/>
      <c r="N32" s="379" t="s">
        <v>332</v>
      </c>
      <c r="O32" s="380"/>
      <c r="P32" s="380"/>
      <c r="Q32" s="381"/>
      <c r="R32" s="88"/>
    </row>
    <row r="33" ht="12.75" customHeight="1">
      <c r="A33" s="135" t="s">
        <v>169</v>
      </c>
      <c r="B33" s="136"/>
      <c r="C33" s="135" t="s">
        <v>170</v>
      </c>
      <c r="D33" s="219"/>
      <c r="E33" s="136"/>
      <c r="F33" s="139"/>
      <c r="G33" s="112"/>
      <c r="H33" s="187"/>
      <c r="I33" s="74"/>
      <c r="J33" s="126"/>
      <c r="K33" s="377" t="s">
        <v>171</v>
      </c>
      <c r="L33" s="378"/>
      <c r="M33" s="368"/>
      <c r="N33" s="382"/>
      <c r="Q33" s="383"/>
      <c r="R33" s="88"/>
    </row>
    <row r="34" ht="12.75" customHeight="1">
      <c r="A34" s="174" t="s">
        <v>172</v>
      </c>
      <c r="B34" s="136"/>
      <c r="C34" s="135" t="s">
        <v>173</v>
      </c>
      <c r="D34" s="219"/>
      <c r="E34" s="136"/>
      <c r="F34" s="207"/>
      <c r="G34" s="162"/>
      <c r="H34" s="208"/>
      <c r="I34" s="209"/>
      <c r="J34" s="210"/>
      <c r="K34" s="384" t="s">
        <v>174</v>
      </c>
      <c r="L34" s="385"/>
      <c r="M34" s="386"/>
      <c r="N34" s="387"/>
      <c r="O34" s="288"/>
      <c r="P34" s="288"/>
      <c r="Q34" s="289"/>
      <c r="R34" s="167"/>
    </row>
    <row r="35" ht="12.75" customHeight="1">
      <c r="A35" s="212" t="s">
        <v>175</v>
      </c>
      <c r="B35" s="147"/>
      <c r="C35" s="135" t="s">
        <v>176</v>
      </c>
      <c r="D35" s="225"/>
      <c r="E35" s="136"/>
      <c r="F35" s="124" t="s">
        <v>177</v>
      </c>
      <c r="G35" s="47"/>
      <c r="H35" s="47"/>
      <c r="I35" s="47"/>
      <c r="J35" s="123"/>
      <c r="K35" s="388" t="s">
        <v>178</v>
      </c>
      <c r="L35" s="281"/>
      <c r="M35" s="281"/>
      <c r="N35" s="281"/>
      <c r="O35" s="281"/>
      <c r="P35" s="281"/>
      <c r="Q35" s="281"/>
      <c r="R35" s="167"/>
    </row>
    <row r="36" ht="18.75" customHeight="1">
      <c r="A36" s="213" t="s">
        <v>179</v>
      </c>
      <c r="B36" s="123"/>
      <c r="C36" s="135" t="s">
        <v>180</v>
      </c>
      <c r="D36" s="219"/>
      <c r="E36" s="136"/>
      <c r="F36" s="129" t="s">
        <v>37</v>
      </c>
      <c r="G36" s="130" t="s">
        <v>126</v>
      </c>
      <c r="H36" s="214" t="s">
        <v>127</v>
      </c>
      <c r="I36" s="74"/>
      <c r="J36" s="126"/>
      <c r="K36" s="215" t="s">
        <v>181</v>
      </c>
      <c r="L36" s="216"/>
      <c r="M36" s="70"/>
      <c r="N36" s="217" t="s">
        <v>182</v>
      </c>
      <c r="Q36" s="206"/>
      <c r="R36" s="102"/>
    </row>
    <row r="37" ht="12.75" customHeight="1">
      <c r="A37" s="218" t="s">
        <v>360</v>
      </c>
      <c r="B37" s="96"/>
      <c r="C37" s="135" t="s">
        <v>185</v>
      </c>
      <c r="D37" s="219"/>
      <c r="E37" s="220"/>
      <c r="F37" s="139"/>
      <c r="G37" s="112"/>
      <c r="H37" s="116"/>
      <c r="I37" s="74"/>
      <c r="J37" s="126"/>
      <c r="K37" s="204" t="s">
        <v>188</v>
      </c>
      <c r="L37" s="116"/>
      <c r="M37" s="66"/>
      <c r="N37" s="205"/>
      <c r="Q37" s="206"/>
      <c r="R37" s="110"/>
    </row>
    <row r="38" ht="12.75" customHeight="1">
      <c r="A38" s="111"/>
      <c r="B38" s="88"/>
      <c r="C38" s="135" t="s">
        <v>189</v>
      </c>
      <c r="D38" s="219"/>
      <c r="E38" s="220"/>
      <c r="F38" s="139"/>
      <c r="G38" s="112"/>
      <c r="H38" s="116"/>
      <c r="I38" s="74"/>
      <c r="J38" s="126"/>
      <c r="K38" s="223" t="s">
        <v>190</v>
      </c>
      <c r="L38" s="116" t="str">
        <f>(J15/Q30)/E15</f>
        <v>#DIV/0!</v>
      </c>
      <c r="M38" s="66"/>
      <c r="N38" s="205"/>
      <c r="Q38" s="206"/>
      <c r="R38" s="110"/>
    </row>
    <row r="39" ht="12.75" customHeight="1">
      <c r="A39" s="111"/>
      <c r="B39" s="88"/>
      <c r="C39" s="135" t="s">
        <v>191</v>
      </c>
      <c r="D39" s="219"/>
      <c r="E39" s="220"/>
      <c r="F39" s="139"/>
      <c r="G39" s="112"/>
      <c r="H39" s="116"/>
      <c r="I39" s="74"/>
      <c r="J39" s="126"/>
      <c r="K39" s="204" t="s">
        <v>192</v>
      </c>
      <c r="L39" s="116"/>
      <c r="M39" s="66"/>
      <c r="N39" s="205"/>
      <c r="Q39" s="206"/>
      <c r="R39" s="110"/>
    </row>
    <row r="40" ht="12.75" customHeight="1">
      <c r="A40" s="111"/>
      <c r="B40" s="88"/>
      <c r="C40" s="135" t="s">
        <v>193</v>
      </c>
      <c r="D40" s="219"/>
      <c r="E40" s="220"/>
      <c r="F40" s="139"/>
      <c r="G40" s="112"/>
      <c r="H40" s="116"/>
      <c r="I40" s="74"/>
      <c r="J40" s="126"/>
      <c r="K40" s="211" t="s">
        <v>194</v>
      </c>
      <c r="L40" s="121"/>
      <c r="M40" s="80"/>
      <c r="N40" s="68"/>
      <c r="O40" s="69"/>
      <c r="P40" s="69"/>
      <c r="Q40" s="70"/>
      <c r="R40" s="81"/>
    </row>
    <row r="41" ht="12.75" customHeight="1">
      <c r="A41" s="111"/>
      <c r="B41" s="88"/>
      <c r="C41" s="135" t="s">
        <v>195</v>
      </c>
      <c r="D41" s="225"/>
      <c r="E41" s="220"/>
      <c r="F41" s="139"/>
      <c r="G41" s="112"/>
      <c r="H41" s="116"/>
      <c r="I41" s="74"/>
      <c r="J41" s="126"/>
      <c r="K41" s="91" t="s">
        <v>196</v>
      </c>
      <c r="L41" s="92"/>
      <c r="M41" s="92"/>
      <c r="N41" s="92"/>
      <c r="O41" s="92"/>
      <c r="P41" s="92"/>
      <c r="Q41" s="92"/>
      <c r="R41" s="93"/>
    </row>
    <row r="42" ht="12.75" customHeight="1">
      <c r="A42" s="111"/>
      <c r="B42" s="88"/>
      <c r="C42" s="310" t="s">
        <v>197</v>
      </c>
      <c r="D42" s="227"/>
      <c r="E42" s="228"/>
      <c r="F42" s="207"/>
      <c r="G42" s="162"/>
      <c r="H42" s="229"/>
      <c r="I42" s="209"/>
      <c r="J42" s="210"/>
      <c r="K42" s="230" t="s">
        <v>198</v>
      </c>
      <c r="L42" s="70"/>
      <c r="M42" s="231"/>
      <c r="N42" s="70"/>
      <c r="O42" s="232" t="s">
        <v>199</v>
      </c>
      <c r="P42" s="232" t="s">
        <v>200</v>
      </c>
      <c r="Q42" s="233" t="s">
        <v>53</v>
      </c>
      <c r="R42" s="102"/>
    </row>
    <row r="43" ht="19.5" customHeight="1">
      <c r="A43" s="111"/>
      <c r="B43" s="88"/>
      <c r="C43" s="234" t="s">
        <v>202</v>
      </c>
      <c r="D43" s="235"/>
      <c r="E43" s="236"/>
      <c r="F43" s="237" t="s">
        <v>203</v>
      </c>
      <c r="G43" s="47"/>
      <c r="H43" s="47"/>
      <c r="I43" s="47"/>
      <c r="J43" s="123"/>
      <c r="K43" s="238" t="s">
        <v>204</v>
      </c>
      <c r="L43" s="66"/>
      <c r="M43" s="239"/>
      <c r="N43" s="66"/>
      <c r="O43" s="240"/>
      <c r="P43" s="241"/>
      <c r="Q43" s="242"/>
      <c r="R43" s="110"/>
    </row>
    <row r="44" ht="12.75" customHeight="1">
      <c r="A44" s="111"/>
      <c r="B44" s="88"/>
      <c r="C44" s="243" t="s">
        <v>296</v>
      </c>
      <c r="D44" s="244"/>
      <c r="E44" s="245"/>
      <c r="F44" s="246" t="s">
        <v>126</v>
      </c>
      <c r="G44" s="247" t="s">
        <v>206</v>
      </c>
      <c r="H44" s="178" t="s">
        <v>207</v>
      </c>
      <c r="I44" s="178" t="s">
        <v>208</v>
      </c>
      <c r="J44" s="248" t="s">
        <v>209</v>
      </c>
      <c r="K44" s="238" t="s">
        <v>210</v>
      </c>
      <c r="L44" s="66"/>
      <c r="M44" s="239"/>
      <c r="N44" s="66"/>
      <c r="O44" s="249"/>
      <c r="P44" s="250"/>
      <c r="Q44" s="187"/>
      <c r="R44" s="110"/>
    </row>
    <row r="45" ht="12.75" customHeight="1">
      <c r="A45" s="111"/>
      <c r="B45" s="88"/>
      <c r="C45" s="243" t="s">
        <v>212</v>
      </c>
      <c r="D45" s="252"/>
      <c r="E45" s="253"/>
      <c r="F45" s="254"/>
      <c r="G45" s="112"/>
      <c r="H45" s="112"/>
      <c r="I45" s="112"/>
      <c r="J45" s="140"/>
      <c r="K45" s="238" t="s">
        <v>215</v>
      </c>
      <c r="L45" s="66"/>
      <c r="M45" s="239"/>
      <c r="N45" s="66"/>
      <c r="O45" s="240"/>
      <c r="P45" s="256"/>
      <c r="Q45" s="258"/>
      <c r="R45" s="110"/>
    </row>
    <row r="46" ht="12.75" customHeight="1">
      <c r="A46" s="111"/>
      <c r="B46" s="88"/>
      <c r="C46" s="243" t="s">
        <v>217</v>
      </c>
      <c r="D46" s="252"/>
      <c r="E46" s="253"/>
      <c r="F46" s="254"/>
      <c r="G46" s="112"/>
      <c r="H46" s="112"/>
      <c r="I46" s="112"/>
      <c r="J46" s="140"/>
      <c r="K46" s="238" t="s">
        <v>220</v>
      </c>
      <c r="L46" s="66"/>
      <c r="M46" s="239"/>
      <c r="N46" s="66"/>
      <c r="O46" s="240"/>
      <c r="P46" s="240"/>
      <c r="Q46" s="258"/>
      <c r="R46" s="110"/>
    </row>
    <row r="47" ht="12.75" customHeight="1">
      <c r="A47" s="111"/>
      <c r="B47" s="88"/>
      <c r="C47" s="243" t="s">
        <v>222</v>
      </c>
      <c r="D47" s="252"/>
      <c r="E47" s="253"/>
      <c r="F47" s="270"/>
      <c r="G47" s="259"/>
      <c r="H47" s="259"/>
      <c r="I47" s="259"/>
      <c r="J47" s="140"/>
      <c r="K47" s="260" t="s">
        <v>225</v>
      </c>
      <c r="L47" s="80"/>
      <c r="M47" s="121"/>
      <c r="N47" s="80"/>
      <c r="O47" s="261"/>
      <c r="P47" s="261"/>
      <c r="Q47" s="262"/>
      <c r="R47" s="81"/>
    </row>
    <row r="48" ht="12.75" customHeight="1">
      <c r="A48" s="111"/>
      <c r="B48" s="88"/>
      <c r="C48" s="243" t="s">
        <v>226</v>
      </c>
      <c r="D48" s="252"/>
      <c r="E48" s="253"/>
      <c r="F48" s="254"/>
      <c r="G48" s="112"/>
      <c r="H48" s="112"/>
      <c r="I48" s="112"/>
      <c r="J48" s="263"/>
      <c r="K48" s="91" t="s">
        <v>228</v>
      </c>
      <c r="L48" s="92"/>
      <c r="M48" s="92"/>
      <c r="N48" s="92"/>
      <c r="O48" s="92"/>
      <c r="P48" s="92"/>
      <c r="Q48" s="92"/>
      <c r="R48" s="93"/>
    </row>
    <row r="49" ht="12.75" customHeight="1">
      <c r="A49" s="111"/>
      <c r="B49" s="88"/>
      <c r="C49" s="243" t="s">
        <v>229</v>
      </c>
      <c r="D49" s="252"/>
      <c r="E49" s="253"/>
      <c r="F49" s="254"/>
      <c r="G49" s="112"/>
      <c r="H49" s="112"/>
      <c r="I49" s="112"/>
      <c r="J49" s="140"/>
      <c r="K49" s="192" t="s">
        <v>232</v>
      </c>
      <c r="L49" s="193"/>
      <c r="M49" s="69"/>
      <c r="N49" s="70"/>
      <c r="O49" s="194" t="s">
        <v>234</v>
      </c>
      <c r="P49" s="265"/>
      <c r="Q49" s="70"/>
      <c r="R49" s="102"/>
    </row>
    <row r="50" ht="12.75" customHeight="1">
      <c r="A50" s="111"/>
      <c r="B50" s="88"/>
      <c r="C50" s="243" t="s">
        <v>237</v>
      </c>
      <c r="D50" s="252"/>
      <c r="E50" s="253"/>
      <c r="F50" s="254"/>
      <c r="G50" s="112"/>
      <c r="H50" s="112"/>
      <c r="I50" s="112"/>
      <c r="J50" s="140"/>
      <c r="K50" s="266" t="s">
        <v>238</v>
      </c>
      <c r="L50" s="267"/>
      <c r="M50" s="66"/>
      <c r="N50" s="268" t="s">
        <v>240</v>
      </c>
      <c r="O50" s="66"/>
      <c r="P50" s="269"/>
      <c r="Q50" s="66"/>
      <c r="R50" s="110"/>
    </row>
    <row r="51" ht="12.75" customHeight="1">
      <c r="A51" s="111"/>
      <c r="B51" s="88"/>
      <c r="C51" s="243" t="s">
        <v>241</v>
      </c>
      <c r="D51" s="252"/>
      <c r="E51" s="253"/>
      <c r="F51" s="270"/>
      <c r="G51" s="259"/>
      <c r="H51" s="259"/>
      <c r="I51" s="259"/>
      <c r="J51" s="140"/>
      <c r="K51" s="266" t="s">
        <v>242</v>
      </c>
      <c r="L51" s="267"/>
      <c r="M51" s="66"/>
      <c r="N51" s="271" t="s">
        <v>243</v>
      </c>
      <c r="O51" s="79"/>
      <c r="P51" s="79"/>
      <c r="Q51" s="80"/>
      <c r="R51" s="110"/>
    </row>
    <row r="52" ht="12.75" customHeight="1">
      <c r="A52" s="111"/>
      <c r="B52" s="88"/>
      <c r="C52" s="243"/>
      <c r="D52" s="252"/>
      <c r="E52" s="253"/>
      <c r="F52" s="254"/>
      <c r="G52" s="112"/>
      <c r="H52" s="112"/>
      <c r="I52" s="112"/>
      <c r="J52" s="263"/>
      <c r="K52" s="266" t="s">
        <v>244</v>
      </c>
      <c r="L52" s="267"/>
      <c r="M52" s="66"/>
      <c r="N52" s="205"/>
      <c r="Q52" s="206"/>
      <c r="R52" s="110"/>
    </row>
    <row r="53" ht="12.75" customHeight="1">
      <c r="A53" s="111"/>
      <c r="B53" s="88"/>
      <c r="C53" s="272" t="s">
        <v>245</v>
      </c>
      <c r="D53" s="273"/>
      <c r="E53" s="274"/>
      <c r="F53" s="254"/>
      <c r="G53" s="112"/>
      <c r="H53" s="112"/>
      <c r="I53" s="112"/>
      <c r="J53" s="263"/>
      <c r="K53" s="266" t="s">
        <v>246</v>
      </c>
      <c r="L53" s="267"/>
      <c r="M53" s="66"/>
      <c r="N53" s="205"/>
      <c r="Q53" s="206"/>
      <c r="R53" s="110"/>
    </row>
    <row r="54" ht="12.75" customHeight="1">
      <c r="A54" s="166"/>
      <c r="B54" s="167"/>
      <c r="C54" s="275"/>
      <c r="D54" s="276"/>
      <c r="E54" s="277"/>
      <c r="F54" s="278"/>
      <c r="G54" s="118"/>
      <c r="H54" s="118"/>
      <c r="I54" s="118"/>
      <c r="J54" s="279"/>
      <c r="K54" s="188" t="s">
        <v>247</v>
      </c>
      <c r="L54" s="180"/>
      <c r="M54" s="80"/>
      <c r="N54" s="280"/>
      <c r="O54" s="281"/>
      <c r="P54" s="281"/>
      <c r="Q54" s="282"/>
      <c r="R54" s="81"/>
    </row>
    <row r="55" ht="18.75" customHeight="1">
      <c r="A55" s="283" t="s">
        <v>248</v>
      </c>
      <c r="B55" s="315"/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285"/>
      <c r="Q55" s="285"/>
      <c r="R55" s="286"/>
    </row>
    <row r="56" ht="18.75" customHeight="1">
      <c r="A56" s="287"/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8"/>
      <c r="P56" s="288"/>
      <c r="Q56" s="288"/>
      <c r="R56" s="289"/>
    </row>
  </sheetData>
  <mergeCells count="126">
    <mergeCell ref="B4:Q4"/>
    <mergeCell ref="B5:Q5"/>
    <mergeCell ref="A6:B6"/>
    <mergeCell ref="C6:J6"/>
    <mergeCell ref="K6:Q6"/>
    <mergeCell ref="R8:R13"/>
    <mergeCell ref="P13:Q13"/>
    <mergeCell ref="K14:R14"/>
    <mergeCell ref="C8:J13"/>
    <mergeCell ref="C14:E14"/>
    <mergeCell ref="F14:H14"/>
    <mergeCell ref="I14:J14"/>
    <mergeCell ref="C15:D15"/>
    <mergeCell ref="I15:I16"/>
    <mergeCell ref="J15:J16"/>
    <mergeCell ref="I21:J21"/>
    <mergeCell ref="I22:J23"/>
    <mergeCell ref="I17:I18"/>
    <mergeCell ref="J17:J18"/>
    <mergeCell ref="I19:I20"/>
    <mergeCell ref="J19:J20"/>
    <mergeCell ref="F20:H20"/>
    <mergeCell ref="F21:G21"/>
    <mergeCell ref="F22:G22"/>
    <mergeCell ref="F23:G23"/>
    <mergeCell ref="P9:Q9"/>
    <mergeCell ref="P10:Q10"/>
    <mergeCell ref="P11:Q11"/>
    <mergeCell ref="P12:Q12"/>
    <mergeCell ref="P15:Q15"/>
    <mergeCell ref="R15:R20"/>
    <mergeCell ref="P16:Q16"/>
    <mergeCell ref="P17:Q17"/>
    <mergeCell ref="P18:Q18"/>
    <mergeCell ref="D1:G1"/>
    <mergeCell ref="J1:J2"/>
    <mergeCell ref="K1:K2"/>
    <mergeCell ref="L1:L2"/>
    <mergeCell ref="M1:Q2"/>
    <mergeCell ref="H2:I2"/>
    <mergeCell ref="B3:Q3"/>
    <mergeCell ref="C7:J7"/>
    <mergeCell ref="K7:R7"/>
    <mergeCell ref="R4:R5"/>
    <mergeCell ref="P8:Q8"/>
    <mergeCell ref="A7:B8"/>
    <mergeCell ref="A9:B13"/>
    <mergeCell ref="A14:B14"/>
    <mergeCell ref="A15:B15"/>
    <mergeCell ref="A19:B19"/>
    <mergeCell ref="A23:B23"/>
    <mergeCell ref="C24:E24"/>
    <mergeCell ref="P19:Q19"/>
    <mergeCell ref="P20:Q20"/>
    <mergeCell ref="K21:R21"/>
    <mergeCell ref="F24:J24"/>
    <mergeCell ref="H25:J25"/>
    <mergeCell ref="H26:J26"/>
    <mergeCell ref="H27:J27"/>
    <mergeCell ref="R22:R27"/>
    <mergeCell ref="R29:R34"/>
    <mergeCell ref="F35:J35"/>
    <mergeCell ref="K35:R35"/>
    <mergeCell ref="A36:B36"/>
    <mergeCell ref="H36:J36"/>
    <mergeCell ref="L36:M36"/>
    <mergeCell ref="H28:J28"/>
    <mergeCell ref="K28:R28"/>
    <mergeCell ref="A29:B29"/>
    <mergeCell ref="H29:J29"/>
    <mergeCell ref="L29:M29"/>
    <mergeCell ref="H30:J30"/>
    <mergeCell ref="M30:N30"/>
    <mergeCell ref="L53:M53"/>
    <mergeCell ref="L54:M54"/>
    <mergeCell ref="L49:N49"/>
    <mergeCell ref="L50:M50"/>
    <mergeCell ref="N50:O50"/>
    <mergeCell ref="P50:Q50"/>
    <mergeCell ref="L51:M51"/>
    <mergeCell ref="N51:Q54"/>
    <mergeCell ref="L52:M52"/>
    <mergeCell ref="H31:J31"/>
    <mergeCell ref="L31:M31"/>
    <mergeCell ref="N31:O31"/>
    <mergeCell ref="H32:J32"/>
    <mergeCell ref="L32:M32"/>
    <mergeCell ref="L33:M33"/>
    <mergeCell ref="L34:M34"/>
    <mergeCell ref="H41:J41"/>
    <mergeCell ref="H42:J42"/>
    <mergeCell ref="K42:L42"/>
    <mergeCell ref="M42:N42"/>
    <mergeCell ref="R36:R40"/>
    <mergeCell ref="R42:R47"/>
    <mergeCell ref="R49:R54"/>
    <mergeCell ref="N32:Q34"/>
    <mergeCell ref="N36:Q40"/>
    <mergeCell ref="L37:M37"/>
    <mergeCell ref="L38:M38"/>
    <mergeCell ref="L39:M39"/>
    <mergeCell ref="L40:M40"/>
    <mergeCell ref="K41:R41"/>
    <mergeCell ref="H33:J33"/>
    <mergeCell ref="H34:J34"/>
    <mergeCell ref="A37:B54"/>
    <mergeCell ref="H37:J37"/>
    <mergeCell ref="H38:J38"/>
    <mergeCell ref="H39:J39"/>
    <mergeCell ref="H40:J40"/>
    <mergeCell ref="A55:A56"/>
    <mergeCell ref="C43:E43"/>
    <mergeCell ref="F43:J43"/>
    <mergeCell ref="K43:L43"/>
    <mergeCell ref="M43:N43"/>
    <mergeCell ref="K44:L44"/>
    <mergeCell ref="M44:N44"/>
    <mergeCell ref="M45:N45"/>
    <mergeCell ref="K45:L45"/>
    <mergeCell ref="K46:L46"/>
    <mergeCell ref="M46:N46"/>
    <mergeCell ref="K47:L47"/>
    <mergeCell ref="M47:N47"/>
    <mergeCell ref="K48:R48"/>
    <mergeCell ref="P49:Q49"/>
    <mergeCell ref="B55:R56"/>
  </mergeCells>
  <conditionalFormatting sqref="D17:E17">
    <cfRule type="cellIs" dxfId="4" priority="1" operator="between">
      <formula>60</formula>
      <formula>100</formula>
    </cfRule>
  </conditionalFormatting>
  <conditionalFormatting sqref="D17:E17">
    <cfRule type="cellIs" dxfId="5" priority="2" operator="notBetween">
      <formula>60</formula>
      <formula>90</formula>
    </cfRule>
  </conditionalFormatting>
  <conditionalFormatting sqref="D18">
    <cfRule type="cellIs" dxfId="5" priority="3" operator="notBetween">
      <formula>60</formula>
      <formula>100</formula>
    </cfRule>
  </conditionalFormatting>
  <conditionalFormatting sqref="E18">
    <cfRule type="cellIs" dxfId="4" priority="4" operator="between">
      <formula>60</formula>
      <formula>100</formula>
    </cfRule>
  </conditionalFormatting>
  <conditionalFormatting sqref="E18">
    <cfRule type="cellIs" dxfId="6" priority="5" operator="notBetween">
      <formula>60</formula>
      <formula>100</formula>
    </cfRule>
  </conditionalFormatting>
  <conditionalFormatting sqref="D19:E19">
    <cfRule type="cellIs" dxfId="4" priority="6" operator="between">
      <formula>12</formula>
      <formula>20</formula>
    </cfRule>
  </conditionalFormatting>
  <conditionalFormatting sqref="D19:E19">
    <cfRule type="cellIs" dxfId="5" priority="7" operator="notBetween">
      <formula>12</formula>
      <formula>20</formula>
    </cfRule>
  </conditionalFormatting>
  <conditionalFormatting sqref="D21:E21">
    <cfRule type="cellIs" dxfId="4" priority="8" operator="between">
      <formula>92</formula>
      <formula>100</formula>
    </cfRule>
  </conditionalFormatting>
  <conditionalFormatting sqref="D21:E21">
    <cfRule type="cellIs" dxfId="5" priority="9" operator="notBetween">
      <formula>92</formula>
      <formula>100</formula>
    </cfRule>
  </conditionalFormatting>
  <conditionalFormatting sqref="D21:E23">
    <cfRule type="cellIs" dxfId="4" priority="10" operator="between">
      <formula>80</formula>
      <formula>180</formula>
    </cfRule>
  </conditionalFormatting>
  <conditionalFormatting sqref="D21:E23">
    <cfRule type="cellIs" dxfId="5" priority="11" operator="notBetween">
      <formula>80</formula>
      <formula>180</formula>
    </cfRule>
  </conditionalFormatting>
  <conditionalFormatting sqref="E20">
    <cfRule type="cellIs" dxfId="8" priority="12" operator="greaterThanOrEqual">
      <formula>37.8</formula>
    </cfRule>
  </conditionalFormatting>
  <conditionalFormatting sqref="H2">
    <cfRule type="cellIs" dxfId="0" priority="13" operator="lessThanOrEqual">
      <formula>1</formula>
    </cfRule>
  </conditionalFormatting>
  <conditionalFormatting sqref="P16:Q16">
    <cfRule type="cellIs" dxfId="1" priority="14" operator="between">
      <formula>60</formula>
      <formula>100</formula>
    </cfRule>
  </conditionalFormatting>
  <conditionalFormatting sqref="P16:Q16">
    <cfRule type="cellIs" dxfId="2" priority="15" operator="notBetween">
      <formula>60</formula>
      <formula>100</formula>
    </cfRule>
  </conditionalFormatting>
  <conditionalFormatting sqref="P15:Q15">
    <cfRule type="cellIs" dxfId="1" priority="16" operator="between">
      <formula>60</formula>
      <formula>100</formula>
    </cfRule>
  </conditionalFormatting>
  <conditionalFormatting sqref="P15:Q15">
    <cfRule type="cellIs" dxfId="3" priority="17" operator="notBetween">
      <formula>60</formula>
      <formula>100</formula>
    </cfRule>
  </conditionalFormatting>
  <conditionalFormatting sqref="P17:Q17">
    <cfRule type="cellIs" dxfId="1" priority="18" operator="between">
      <formula>1</formula>
      <formula>3</formula>
    </cfRule>
  </conditionalFormatting>
  <conditionalFormatting sqref="P17:Q17">
    <cfRule type="cellIs" dxfId="3" priority="19" operator="notBetween">
      <formula>1</formula>
      <formula>3</formula>
    </cfRule>
  </conditionalFormatting>
  <conditionalFormatting sqref="N23">
    <cfRule type="cellIs" dxfId="1" priority="20" operator="between">
      <formula>12</formula>
      <formula>20</formula>
    </cfRule>
  </conditionalFormatting>
  <conditionalFormatting sqref="N23">
    <cfRule type="cellIs" dxfId="3" priority="21" operator="notBetween">
      <formula>12</formula>
      <formula>20</formula>
    </cfRule>
  </conditionalFormatting>
  <conditionalFormatting sqref="N24">
    <cfRule type="cellIs" dxfId="1" priority="22" operator="between">
      <formula>21</formula>
      <formula>45</formula>
    </cfRule>
  </conditionalFormatting>
  <conditionalFormatting sqref="N24">
    <cfRule type="cellIs" dxfId="3" priority="23" operator="notBetween">
      <formula>21</formula>
      <formula>45</formula>
    </cfRule>
  </conditionalFormatting>
  <conditionalFormatting sqref="N25">
    <cfRule type="cellIs" dxfId="1" priority="24" operator="between">
      <formula>3</formula>
      <formula>10</formula>
    </cfRule>
  </conditionalFormatting>
  <conditionalFormatting sqref="N25">
    <cfRule type="cellIs" dxfId="3" priority="25" operator="notBetween">
      <formula>3</formula>
      <formula>10</formula>
    </cfRule>
  </conditionalFormatting>
  <conditionalFormatting sqref="L25:L27">
    <cfRule type="cellIs" dxfId="1" priority="26" operator="between">
      <formula>20</formula>
      <formula>35</formula>
    </cfRule>
  </conditionalFormatting>
  <conditionalFormatting sqref="L25:L27">
    <cfRule type="cellIs" dxfId="3" priority="27" operator="notBetween">
      <formula>20</formula>
      <formula>35</formula>
    </cfRule>
  </conditionalFormatting>
  <conditionalFormatting sqref="D17:D18 E17">
    <cfRule type="cellIs" dxfId="1" priority="28" operator="between">
      <formula>60</formula>
      <formula>100</formula>
    </cfRule>
  </conditionalFormatting>
  <conditionalFormatting sqref="D17:E17">
    <cfRule type="cellIs" dxfId="8" priority="29" operator="notBetween">
      <formula>60</formula>
      <formula>90</formula>
    </cfRule>
  </conditionalFormatting>
  <conditionalFormatting sqref="D18">
    <cfRule type="cellIs" dxfId="1" priority="30" operator="between">
      <formula>60</formula>
      <formula>100</formula>
    </cfRule>
  </conditionalFormatting>
  <conditionalFormatting sqref="D18">
    <cfRule type="cellIs" dxfId="8" priority="31" operator="notBetween">
      <formula>60</formula>
      <formula>100</formula>
    </cfRule>
  </conditionalFormatting>
  <conditionalFormatting sqref="E18">
    <cfRule type="cellIs" dxfId="1" priority="32" operator="between">
      <formula>60</formula>
      <formula>100</formula>
    </cfRule>
  </conditionalFormatting>
  <conditionalFormatting sqref="E18">
    <cfRule type="cellIs" dxfId="3" priority="33" operator="notBetween">
      <formula>60</formula>
      <formula>100</formula>
    </cfRule>
  </conditionalFormatting>
  <conditionalFormatting sqref="D19:E19">
    <cfRule type="cellIs" dxfId="1" priority="34" operator="between">
      <formula>12</formula>
      <formula>20</formula>
    </cfRule>
  </conditionalFormatting>
  <conditionalFormatting sqref="D19:E19">
    <cfRule type="cellIs" dxfId="8" priority="35" operator="notBetween">
      <formula>12</formula>
      <formula>20</formula>
    </cfRule>
  </conditionalFormatting>
  <conditionalFormatting sqref="D20:E20">
    <cfRule type="cellIs" dxfId="1" priority="36" operator="between">
      <formula>35</formula>
      <formula>37.7</formula>
    </cfRule>
  </conditionalFormatting>
  <conditionalFormatting sqref="D20:E20">
    <cfRule type="cellIs" dxfId="8" priority="37" operator="notBetween">
      <formula>35</formula>
      <formula>37.7</formula>
    </cfRule>
  </conditionalFormatting>
  <conditionalFormatting sqref="D21:E21">
    <cfRule type="cellIs" dxfId="1" priority="38" operator="between">
      <formula>92</formula>
      <formula>100</formula>
    </cfRule>
  </conditionalFormatting>
  <conditionalFormatting sqref="D21:E21">
    <cfRule type="cellIs" dxfId="8" priority="39" operator="notBetween">
      <formula>92</formula>
      <formula>100</formula>
    </cfRule>
  </conditionalFormatting>
  <conditionalFormatting sqref="D21:E23">
    <cfRule type="cellIs" dxfId="1" priority="40" operator="between">
      <formula>80</formula>
      <formula>180</formula>
    </cfRule>
  </conditionalFormatting>
  <conditionalFormatting sqref="D21:E23">
    <cfRule type="cellIs" dxfId="8" priority="41" operator="notBetween">
      <formula>80</formula>
      <formula>180</formula>
    </cfRule>
  </conditionalFormatting>
  <conditionalFormatting sqref="J15:J16">
    <cfRule type="cellIs" dxfId="1" priority="42" operator="between">
      <formula>500</formula>
      <formula>2500</formula>
    </cfRule>
  </conditionalFormatting>
  <conditionalFormatting sqref="J15:J16">
    <cfRule type="cellIs" dxfId="3" priority="43" operator="notBetween">
      <formula>500</formula>
      <formula>2500</formula>
    </cfRule>
  </conditionalFormatting>
  <conditionalFormatting sqref="D26:E26">
    <cfRule type="cellIs" dxfId="1" priority="44" operator="between">
      <formula>7</formula>
      <formula>16</formula>
    </cfRule>
  </conditionalFormatting>
  <conditionalFormatting sqref="D26:E26">
    <cfRule type="cellIs" dxfId="3" priority="45" operator="notBetween">
      <formula>7</formula>
      <formula>16</formula>
    </cfRule>
  </conditionalFormatting>
  <conditionalFormatting sqref="D28:E28">
    <cfRule type="cellIs" dxfId="1" priority="46" operator="between">
      <formula>4000</formula>
      <formula>12000</formula>
    </cfRule>
  </conditionalFormatting>
  <conditionalFormatting sqref="D28:E28">
    <cfRule type="cellIs" dxfId="3" priority="47" operator="notBetween">
      <formula>4000</formula>
      <formula>12000</formula>
    </cfRule>
  </conditionalFormatting>
  <conditionalFormatting sqref="D29:E29">
    <cfRule type="cellIs" dxfId="1" priority="48" operator="between">
      <formula>150000</formula>
      <formula>500000</formula>
    </cfRule>
  </conditionalFormatting>
  <conditionalFormatting sqref="D29:E29">
    <cfRule type="cellIs" dxfId="3" priority="49" operator="notBetween">
      <formula>150000</formula>
      <formula>500000</formula>
    </cfRule>
  </conditionalFormatting>
  <conditionalFormatting sqref="D31:E31">
    <cfRule type="cellIs" dxfId="1" priority="50" operator="between">
      <formula>10</formula>
      <formula>45</formula>
    </cfRule>
  </conditionalFormatting>
  <conditionalFormatting sqref="D31:E31">
    <cfRule type="cellIs" dxfId="3" priority="51" operator="notBetween">
      <formula>10</formula>
      <formula>45</formula>
    </cfRule>
  </conditionalFormatting>
  <conditionalFormatting sqref="D32:E32">
    <cfRule type="cellIs" dxfId="1" priority="52" operator="between">
      <formula>0.5</formula>
      <formula>1.4</formula>
    </cfRule>
  </conditionalFormatting>
  <conditionalFormatting sqref="D32:E32">
    <cfRule type="cellIs" dxfId="3" priority="53" operator="notBetween">
      <formula>0.5</formula>
      <formula>1.4</formula>
    </cfRule>
  </conditionalFormatting>
  <conditionalFormatting sqref="D33:E33">
    <cfRule type="cellIs" dxfId="1" priority="54" operator="between">
      <formula>135</formula>
      <formula>145</formula>
    </cfRule>
  </conditionalFormatting>
  <conditionalFormatting sqref="D33:E33">
    <cfRule type="cellIs" dxfId="3" priority="55" operator="notBetween">
      <formula>135</formula>
      <formula>145</formula>
    </cfRule>
  </conditionalFormatting>
  <conditionalFormatting sqref="D34:E34">
    <cfRule type="cellIs" dxfId="1" priority="56" operator="between">
      <formula>3.5</formula>
      <formula>5.5</formula>
    </cfRule>
  </conditionalFormatting>
  <conditionalFormatting sqref="D34:E34">
    <cfRule type="cellIs" dxfId="3" priority="57" operator="notBetween">
      <formula>3.5</formula>
      <formula>5.5</formula>
    </cfRule>
  </conditionalFormatting>
  <conditionalFormatting sqref="D38:E38">
    <cfRule type="cellIs" dxfId="1" priority="58" operator="between">
      <formula>0</formula>
      <formula>0.1</formula>
    </cfRule>
  </conditionalFormatting>
  <conditionalFormatting sqref="D38:E38">
    <cfRule type="cellIs" dxfId="3" priority="59" operator="notBetween">
      <formula>0</formula>
      <formula>0.1</formula>
    </cfRule>
  </conditionalFormatting>
  <conditionalFormatting sqref="D45:E45">
    <cfRule type="cellIs" dxfId="1" priority="60" operator="between">
      <formula>7.35</formula>
      <formula>7.45</formula>
    </cfRule>
  </conditionalFormatting>
  <conditionalFormatting sqref="D45:E45">
    <cfRule type="cellIs" dxfId="3" priority="61" operator="notBetween">
      <formula>7.35</formula>
      <formula>7.45</formula>
    </cfRule>
  </conditionalFormatting>
  <conditionalFormatting sqref="D46:E46">
    <cfRule type="cellIs" dxfId="1" priority="62" operator="between">
      <formula>35</formula>
      <formula>45</formula>
    </cfRule>
  </conditionalFormatting>
  <conditionalFormatting sqref="D46:E46">
    <cfRule type="cellIs" dxfId="3" priority="63" operator="notBetween">
      <formula>35</formula>
      <formula>45</formula>
    </cfRule>
  </conditionalFormatting>
  <conditionalFormatting sqref="D47:E47">
    <cfRule type="cellIs" dxfId="1" priority="64" operator="between">
      <formula>60</formula>
      <formula>100</formula>
    </cfRule>
  </conditionalFormatting>
  <conditionalFormatting sqref="D47:E47">
    <cfRule type="cellIs" dxfId="3" priority="65" operator="notBetween">
      <formula>60</formula>
      <formula>100</formula>
    </cfRule>
  </conditionalFormatting>
  <conditionalFormatting sqref="D48:E48">
    <cfRule type="cellIs" dxfId="1" priority="66" operator="between">
      <formula>18</formula>
      <formula>30</formula>
    </cfRule>
  </conditionalFormatting>
  <conditionalFormatting sqref="D48:E48">
    <cfRule type="cellIs" dxfId="3" priority="67" operator="notBetween">
      <formula>18</formula>
      <formula>30</formula>
    </cfRule>
  </conditionalFormatting>
  <conditionalFormatting sqref="D49:E49">
    <cfRule type="cellIs" dxfId="1" priority="68" operator="between">
      <formula>-2</formula>
      <formula>2</formula>
    </cfRule>
  </conditionalFormatting>
  <conditionalFormatting sqref="D49:E49">
    <cfRule type="cellIs" dxfId="3" priority="69" operator="notBetween">
      <formula>-2</formula>
      <formula>2</formula>
    </cfRule>
  </conditionalFormatting>
  <conditionalFormatting sqref="D50:E50">
    <cfRule type="cellIs" dxfId="1" priority="70" operator="between">
      <formula>92</formula>
      <formula>100</formula>
    </cfRule>
  </conditionalFormatting>
  <conditionalFormatting sqref="D50:E50">
    <cfRule type="cellIs" dxfId="3" priority="71" operator="notBetween">
      <formula>92</formula>
      <formula>100</formula>
    </cfRule>
  </conditionalFormatting>
  <conditionalFormatting sqref="D51:E51">
    <cfRule type="cellIs" dxfId="1" priority="72" operator="between">
      <formula>400</formula>
      <formula>600</formula>
    </cfRule>
  </conditionalFormatting>
  <conditionalFormatting sqref="D51:E51">
    <cfRule type="cellIs" dxfId="3" priority="73" operator="notBetween">
      <formula>400</formula>
      <formula>600</formula>
    </cfRule>
  </conditionalFormatting>
  <conditionalFormatting sqref="B35">
    <cfRule type="cellIs" dxfId="1" priority="74" operator="between">
      <formula>0</formula>
      <formula>20</formula>
    </cfRule>
  </conditionalFormatting>
  <conditionalFormatting sqref="B35">
    <cfRule type="cellIs" dxfId="7" priority="75" operator="between">
      <formula>20</formula>
      <formula>50</formula>
    </cfRule>
  </conditionalFormatting>
  <conditionalFormatting sqref="B35">
    <cfRule type="cellIs" dxfId="8" priority="76" operator="between">
      <formula>50</formula>
      <formula>100</formula>
    </cfRule>
  </conditionalFormatting>
  <conditionalFormatting sqref="P8:Q8">
    <cfRule type="cellIs" dxfId="1" priority="77" operator="between">
      <formula>13</formula>
      <formula>15</formula>
    </cfRule>
  </conditionalFormatting>
  <conditionalFormatting sqref="P8:Q8">
    <cfRule type="cellIs" dxfId="3" priority="78" operator="notBetween">
      <formula>13</formula>
      <formula>15</formula>
    </cfRule>
  </conditionalFormatting>
  <conditionalFormatting sqref="P9:Q9">
    <cfRule type="cellIs" dxfId="1" priority="79" operator="between">
      <formula>0</formula>
      <formula>-2</formula>
    </cfRule>
  </conditionalFormatting>
  <conditionalFormatting sqref="P9:Q9">
    <cfRule type="cellIs" dxfId="3" priority="80" operator="notBetween">
      <formula>0</formula>
      <formula>-2</formula>
    </cfRule>
  </conditionalFormatting>
  <conditionalFormatting sqref="L49:N49">
    <cfRule type="notContainsBlanks" dxfId="3" priority="81">
      <formula>LEN(TRIM(L49))&gt;0</formula>
    </cfRule>
  </conditionalFormatting>
  <conditionalFormatting sqref="B33">
    <cfRule type="cellIs" dxfId="8" priority="82" operator="lessThan">
      <formula>40</formula>
    </cfRule>
  </conditionalFormatting>
  <conditionalFormatting sqref="B33">
    <cfRule type="cellIs" dxfId="9" priority="83" operator="between">
      <formula>40</formula>
      <formula>60</formula>
    </cfRule>
  </conditionalFormatting>
  <conditionalFormatting sqref="B33">
    <cfRule type="cellIs" dxfId="1" priority="84" operator="greaterThan">
      <formula>60</formula>
    </cfRule>
  </conditionalFormatting>
  <conditionalFormatting sqref="K1:K2">
    <cfRule type="notContainsBlanks" dxfId="8" priority="85">
      <formula>LEN(TRIM(K1))&gt;0</formula>
    </cfRule>
  </conditionalFormatting>
  <dataValidations>
    <dataValidation type="list" allowBlank="1" showErrorMessage="1" sqref="K9">
      <formula1>"MIDAZOLAM 2X,MIDAZOLAM 5X,FENTANIL 2X, FENTANIL 5X,TRIDIL 1X,DOBUTA 4X,PROPOFOL 5X,CETAMINA 2X,PRECEDEX 2X,ROCURONIO 5X"</formula1>
    </dataValidation>
    <dataValidation type="list" allowBlank="1" showErrorMessage="1" sqref="P20 L37 L39">
      <formula1>"SIM,NÃO"</formula1>
    </dataValidation>
    <dataValidation type="list" allowBlank="1" showErrorMessage="1" sqref="L29">
      <formula1>"JEJUM,GERAL,BRANDA,PASTOSA,LEVE,LIQ.C/RESÍDUO,LIQ.S/RESÍDUO,LIQ.FRIA,ÁGUA,CHÁ,GELATINA,DIBEN,HP ENERGI,ENERGI,DIAMAX"</formula1>
    </dataValidation>
    <dataValidation type="list" allowBlank="1" showErrorMessage="1" sqref="P49">
      <formula1>"N/A,I,II,III,IV,INCLASSIFICÁVEL"</formula1>
    </dataValidation>
    <dataValidation type="list" allowBlank="1" showErrorMessage="1" sqref="K16:K20">
      <formula1>"NORADRENALINA 4X,NORADRENALINA 8X,VASOPRESSINA 2X,NIPRID 1X, TRIDIL 1X,DOBUTAMINA 4X,DOPAMINA 5X,NIPRIDE X2"</formula1>
    </dataValidation>
    <dataValidation type="list" allowBlank="1" showErrorMessage="1" sqref="L22">
      <formula1>"TOT,TQT,VNI,CNO2,MNR,VENTURI,AA"</formula1>
    </dataValidation>
    <dataValidation type="list" allowBlank="1" showErrorMessage="1" sqref="P11:P13 P18 L31:L34 L36">
      <formula1>"SIM,NÃO"</formula1>
    </dataValidation>
    <dataValidation type="list" allowBlank="1" showErrorMessage="1" sqref="L23">
      <formula1>"1ºdia,2ºdia,3ºdia,4ºdia,5ºdia"</formula1>
    </dataValidation>
    <dataValidation type="list" allowBlank="1" showErrorMessage="1" sqref="K10:K13">
      <formula1>"MIDAZOLAM,FENTANIL,PROPOFOL,CETAMINA,PRECEDEX,ROCURONIO"</formula1>
    </dataValidation>
    <dataValidation type="list" allowBlank="1" showErrorMessage="1" sqref="P19">
      <formula1>"SIM,NÃO,N/A"</formula1>
    </dataValidation>
    <dataValidation type="list" allowBlank="1" showErrorMessage="1" sqref="M42:M43 M45">
      <formula1>"SIM,NÃO,N/A"</formula1>
    </dataValidation>
    <dataValidation type="list" allowBlank="1" showErrorMessage="1" sqref="O29">
      <formula1>"N/A,ORAL,SNE,GTT,PARENTERAL"</formula1>
    </dataValidation>
    <dataValidation type="list" allowBlank="1" showErrorMessage="1" sqref="M47">
      <formula1>"SANGRAMENTO,AGUARDA CC,QUEDA HB,PLAQUETOPENIA"</formula1>
    </dataValidation>
    <dataValidation type="list" allowBlank="1" showErrorMessage="1" sqref="M44 M46 L51:L53">
      <formula1>"SIM,NÃO,N/A"</formula1>
    </dataValidation>
  </dataValidations>
  <printOptions gridLines="1" horizontalCentered="1"/>
  <pageMargins bottom="0.14871749934278886" footer="0.0" header="0.0" left="0.18589687417848605" right="0.18589687417848605" top="0.18589687417848605"/>
  <pageSetup paperSize="9" cellComments="atEnd" orientation="landscape" pageOrder="overThenDown"/>
  <drawing r:id="rId1"/>
</worksheet>
</file>